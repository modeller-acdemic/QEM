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ropbox\Uni\MSc AI\11 IRP\"/>
    </mc:Choice>
  </mc:AlternateContent>
  <xr:revisionPtr revIDLastSave="0" documentId="13_ncr:1_{40627B22-017B-45C2-9A98-DE8A716CBAFC}" xr6:coauthVersionLast="47" xr6:coauthVersionMax="47" xr10:uidLastSave="{00000000-0000-0000-0000-000000000000}"/>
  <bookViews>
    <workbookView xWindow="-120" yWindow="-120" windowWidth="29040" windowHeight="15720" xr2:uid="{DDF7861B-BFC8-445C-9176-9A103291BFC2}"/>
  </bookViews>
  <sheets>
    <sheet name="Table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B9" i="1"/>
  <c r="C11" i="1"/>
  <c r="D11" i="1"/>
  <c r="E11" i="1"/>
  <c r="F11" i="1"/>
  <c r="G11" i="1"/>
  <c r="H11" i="1"/>
  <c r="I11" i="1"/>
  <c r="B11" i="1"/>
  <c r="C8" i="1"/>
  <c r="D8" i="1"/>
  <c r="E8" i="1"/>
  <c r="F8" i="1"/>
  <c r="G8" i="1"/>
  <c r="H8" i="1"/>
  <c r="I8" i="1"/>
  <c r="B8" i="1"/>
</calcChain>
</file>

<file path=xl/sharedStrings.xml><?xml version="1.0" encoding="utf-8"?>
<sst xmlns="http://schemas.openxmlformats.org/spreadsheetml/2006/main" count="58" uniqueCount="18">
  <si>
    <t>Average</t>
  </si>
  <si>
    <t>RF</t>
  </si>
  <si>
    <t>RF Retuned</t>
  </si>
  <si>
    <t>GBR</t>
  </si>
  <si>
    <t>RF Baseline</t>
  </si>
  <si>
    <t>Decision Tree</t>
  </si>
  <si>
    <t>RMSE Training</t>
  </si>
  <si>
    <t>RMSE Validation</t>
  </si>
  <si>
    <t>Model</t>
  </si>
  <si>
    <t>DT</t>
  </si>
  <si>
    <t>Header</t>
  </si>
  <si>
    <t>L2 Validation</t>
  </si>
  <si>
    <t>MSE Training</t>
  </si>
  <si>
    <t>MSE Validation</t>
  </si>
  <si>
    <t>RFRetuned</t>
  </si>
  <si>
    <t>Avg</t>
  </si>
  <si>
    <t>std.dev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</si>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</sst>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F413-7F1E-4787-B877-12581D1A8FF6}">
  <dimension ref="A1:M11"/>
  <sheetViews>
    <sheetView tabSelected="1" workbookViewId="0">
      <selection activeCell="J15" sqref="J15"/>
    </sheetView>
  </sheetViews>
  <sheetFormatPr defaultRowHeight="15" x14ac:dyDescent="0.25"/>
  <cols>
    <col min="2" max="13" width="15.42578125" customWidth="1"/>
  </cols>
  <sheetData>
    <row r="1" spans="1:13" x14ac:dyDescent="0.25">
      <c r="B1" s="4" t="s">
        <v>4</v>
      </c>
      <c r="C1" s="4"/>
      <c r="D1" s="4" t="s">
        <v>2</v>
      </c>
      <c r="E1" s="4"/>
      <c r="F1" s="4" t="s">
        <v>3</v>
      </c>
      <c r="G1" s="4"/>
      <c r="H1" s="4" t="s">
        <v>5</v>
      </c>
      <c r="I1" s="4"/>
      <c r="J1" s="7"/>
      <c r="L1" s="7"/>
      <c r="M1" s="7"/>
    </row>
    <row r="2" spans="1:13" x14ac:dyDescent="0.25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</row>
    <row r="3" spans="1:13" x14ac:dyDescent="0.25">
      <c r="A3" s="2">
        <v>0</v>
      </c>
      <c r="B3" s="5">
        <v>3.8220993197897297E-2</v>
      </c>
      <c r="C3" s="5">
        <v>4.5921817100900403E-2</v>
      </c>
      <c r="D3" s="5">
        <v>3.2143653640880898E-2</v>
      </c>
      <c r="E3" s="5">
        <v>4.1229928682370701E-2</v>
      </c>
      <c r="F3" s="5">
        <v>9.0969537313634399E-2</v>
      </c>
      <c r="G3" s="5">
        <v>9.5257853865384406E-2</v>
      </c>
      <c r="H3" s="5">
        <v>0.33740855690055099</v>
      </c>
      <c r="I3" s="5">
        <v>0.348787464429342</v>
      </c>
    </row>
    <row r="4" spans="1:13" x14ac:dyDescent="0.25">
      <c r="A4" s="2">
        <v>0.25</v>
      </c>
      <c r="B4" s="5">
        <v>4.4880920730992001E-2</v>
      </c>
      <c r="C4" s="5">
        <v>5.0919522137864499E-2</v>
      </c>
      <c r="D4" s="5">
        <v>3.9124803655672502E-2</v>
      </c>
      <c r="E4" s="5">
        <v>4.7350938804800798E-2</v>
      </c>
      <c r="F4" s="5">
        <v>9.5447564779688798E-2</v>
      </c>
      <c r="G4" s="5">
        <v>9.9239622294773205E-2</v>
      </c>
      <c r="H4" s="5">
        <v>0.25596174721426801</v>
      </c>
      <c r="I4" s="5">
        <v>0.27487137023377101</v>
      </c>
    </row>
    <row r="5" spans="1:13" x14ac:dyDescent="0.25">
      <c r="A5" s="2">
        <v>0.5</v>
      </c>
      <c r="B5" s="5">
        <v>4.9174970625858801E-2</v>
      </c>
      <c r="C5" s="5">
        <v>6.1364834387074498E-2</v>
      </c>
      <c r="D5" s="5">
        <v>4.3190803273721899E-2</v>
      </c>
      <c r="E5" s="5">
        <v>5.85650965319039E-2</v>
      </c>
      <c r="F5" s="5">
        <v>9.9348834265167094E-2</v>
      </c>
      <c r="G5" s="5">
        <v>0.107128974626485</v>
      </c>
      <c r="H5" s="5">
        <v>0.25797121478484603</v>
      </c>
      <c r="I5" s="5">
        <v>0.27403102857413902</v>
      </c>
    </row>
    <row r="6" spans="1:13" x14ac:dyDescent="0.25">
      <c r="A6" s="2">
        <v>0.75</v>
      </c>
      <c r="B6" s="5">
        <v>5.09460745123523E-2</v>
      </c>
      <c r="C6" s="5">
        <v>6.5199473972207697E-2</v>
      </c>
      <c r="D6" s="5">
        <v>4.42162327889477E-2</v>
      </c>
      <c r="E6" s="5">
        <v>6.2662496542067306E-2</v>
      </c>
      <c r="F6" s="5">
        <v>9.9879084413358299E-2</v>
      </c>
      <c r="G6" s="5">
        <v>0.112773096899366</v>
      </c>
      <c r="H6" s="5">
        <v>0.26593340395676102</v>
      </c>
      <c r="I6" s="5">
        <v>0.27156027496002899</v>
      </c>
    </row>
    <row r="7" spans="1:13" x14ac:dyDescent="0.25">
      <c r="A7" s="2">
        <v>1</v>
      </c>
      <c r="B7" s="5">
        <v>5.2284351170110002E-2</v>
      </c>
      <c r="C7" s="5">
        <v>6.4981214926663394E-2</v>
      </c>
      <c r="D7" s="5">
        <v>4.4721160930157398E-2</v>
      </c>
      <c r="E7" s="5">
        <v>6.1949201698834201E-2</v>
      </c>
      <c r="F7" s="5">
        <v>0.103922907207338</v>
      </c>
      <c r="G7" s="5">
        <v>0.112128297890213</v>
      </c>
      <c r="H7" s="5">
        <v>0.32225091226840302</v>
      </c>
      <c r="I7" s="5">
        <v>0.35517524051556998</v>
      </c>
    </row>
    <row r="8" spans="1:13" x14ac:dyDescent="0.25">
      <c r="A8" s="3" t="s">
        <v>17</v>
      </c>
      <c r="B8" s="6">
        <f>MEDIAN(B3:B7)</f>
        <v>4.9174970625858801E-2</v>
      </c>
      <c r="C8" s="6">
        <f t="shared" ref="C8:I8" si="0">MEDIAN(C3:C7)</f>
        <v>6.1364834387074498E-2</v>
      </c>
      <c r="D8" s="6">
        <f t="shared" si="0"/>
        <v>4.3190803273721899E-2</v>
      </c>
      <c r="E8" s="6">
        <f t="shared" si="0"/>
        <v>5.85650965319039E-2</v>
      </c>
      <c r="F8" s="6">
        <f t="shared" si="0"/>
        <v>9.9348834265167094E-2</v>
      </c>
      <c r="G8" s="6">
        <f t="shared" si="0"/>
        <v>0.107128974626485</v>
      </c>
      <c r="H8" s="6">
        <f t="shared" si="0"/>
        <v>0.26593340395676102</v>
      </c>
      <c r="I8" s="6">
        <f t="shared" si="0"/>
        <v>0.27487137023377101</v>
      </c>
    </row>
    <row r="9" spans="1:13" x14ac:dyDescent="0.25">
      <c r="A9" t="s">
        <v>16</v>
      </c>
      <c r="B9" s="5">
        <f>_xlfn.STDEV.S(B3:B7)</f>
        <v>5.6950933533564075E-3</v>
      </c>
      <c r="C9" s="5">
        <f>_xlfn.STDEV.S(C3:C7)</f>
        <v>8.7662295797375622E-3</v>
      </c>
      <c r="D9" s="5">
        <f>_xlfn.STDEV.S(D3:D7)</f>
        <v>5.2542339992117711E-3</v>
      </c>
      <c r="E9" s="5">
        <f>_xlfn.STDEV.S(E3:E7)</f>
        <v>9.5621077860282584E-3</v>
      </c>
      <c r="F9" s="5">
        <f>_xlfn.STDEV.S(F3:F7)</f>
        <v>4.9075486698091329E-3</v>
      </c>
      <c r="G9" s="5">
        <f>_xlfn.STDEV.S(G3:G7)</f>
        <v>7.8004919616151283E-3</v>
      </c>
      <c r="H9" s="5">
        <f>_xlfn.STDEV.S(H3:H7)</f>
        <v>3.8824598400185796E-2</v>
      </c>
      <c r="I9" s="5">
        <f>_xlfn.STDEV.S(I3:I7)</f>
        <v>4.3069297351874099E-2</v>
      </c>
    </row>
    <row r="11" spans="1:13" x14ac:dyDescent="0.25">
      <c r="A11" t="s">
        <v>15</v>
      </c>
      <c r="B11" s="5">
        <f>AVERAGE(B3:B7)</f>
        <v>4.7101462047442075E-2</v>
      </c>
      <c r="C11" s="5">
        <f>AVERAGE(C3:C7)</f>
        <v>5.7677372504942093E-2</v>
      </c>
      <c r="D11" s="5">
        <f>AVERAGE(D3:D7)</f>
        <v>4.0679330857876082E-2</v>
      </c>
      <c r="E11" s="5">
        <f>AVERAGE(E3:E7)</f>
        <v>5.4351532451995387E-2</v>
      </c>
      <c r="F11" s="5">
        <f>AVERAGE(F3:F7)</f>
        <v>9.7913585595837321E-2</v>
      </c>
      <c r="G11" s="5">
        <f>AVERAGE(G3:G7)</f>
        <v>0.10530556911524433</v>
      </c>
      <c r="H11" s="5">
        <f>AVERAGE(H3:H7)</f>
        <v>0.28790516702496582</v>
      </c>
      <c r="I11" s="5">
        <f>AVERAGE(I3:I7)</f>
        <v>0.30488507574257018</v>
      </c>
    </row>
  </sheetData>
  <mergeCells count="4">
    <mergeCell ref="H1:I1"/>
    <mergeCell ref="F1:G1"/>
    <mergeCell ref="D1:E1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A405-0E6C-406B-B550-21E4B7528840}">
  <dimension ref="A1:U8"/>
  <sheetViews>
    <sheetView workbookViewId="0">
      <selection activeCell="C6" sqref="C6"/>
    </sheetView>
  </sheetViews>
  <sheetFormatPr defaultRowHeight="15" x14ac:dyDescent="0.25"/>
  <sheetData>
    <row r="1" spans="1:21" x14ac:dyDescent="0.25">
      <c r="A1" t="s">
        <v>8</v>
      </c>
      <c r="B1" t="s">
        <v>9</v>
      </c>
      <c r="C1" t="s">
        <v>9</v>
      </c>
      <c r="D1" t="s">
        <v>9</v>
      </c>
      <c r="E1" t="s">
        <v>9</v>
      </c>
      <c r="F1" t="s">
        <v>9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14</v>
      </c>
      <c r="R1" t="s">
        <v>14</v>
      </c>
      <c r="S1" t="s">
        <v>14</v>
      </c>
      <c r="T1" t="s">
        <v>14</v>
      </c>
      <c r="U1" t="s">
        <v>14</v>
      </c>
    </row>
    <row r="2" spans="1:21" x14ac:dyDescent="0.25">
      <c r="A2" t="s">
        <v>10</v>
      </c>
      <c r="B2" t="s">
        <v>11</v>
      </c>
      <c r="C2" t="s">
        <v>12</v>
      </c>
      <c r="D2" t="s">
        <v>13</v>
      </c>
      <c r="E2" t="s">
        <v>6</v>
      </c>
      <c r="F2" t="s">
        <v>7</v>
      </c>
      <c r="G2" t="s">
        <v>11</v>
      </c>
      <c r="H2" t="s">
        <v>12</v>
      </c>
      <c r="I2" t="s">
        <v>13</v>
      </c>
      <c r="J2" t="s">
        <v>6</v>
      </c>
      <c r="K2" t="s">
        <v>7</v>
      </c>
      <c r="L2" t="s">
        <v>11</v>
      </c>
      <c r="M2" t="s">
        <v>12</v>
      </c>
      <c r="N2" t="s">
        <v>13</v>
      </c>
      <c r="O2" t="s">
        <v>6</v>
      </c>
      <c r="P2" t="s">
        <v>7</v>
      </c>
      <c r="Q2" t="s">
        <v>11</v>
      </c>
      <c r="R2" t="s">
        <v>12</v>
      </c>
      <c r="S2" t="s">
        <v>13</v>
      </c>
      <c r="T2" t="s">
        <v>6</v>
      </c>
      <c r="U2" t="s">
        <v>7</v>
      </c>
    </row>
    <row r="3" spans="1:21" x14ac:dyDescent="0.25">
      <c r="A3" s="2">
        <v>0</v>
      </c>
      <c r="B3" s="1">
        <v>0.41285494060894101</v>
      </c>
      <c r="C3" s="1">
        <v>0.113844534269712</v>
      </c>
      <c r="D3" s="1">
        <v>0.12165269534305</v>
      </c>
      <c r="E3" s="1">
        <v>0.33740855690055099</v>
      </c>
      <c r="F3" s="1">
        <v>0.348787464429342</v>
      </c>
      <c r="G3" s="1">
        <v>0.13486977720475199</v>
      </c>
      <c r="H3" s="1">
        <v>8.2754567190567192E-3</v>
      </c>
      <c r="I3" s="1">
        <v>9.0740587230389406E-3</v>
      </c>
      <c r="J3" s="1">
        <v>9.0969537313634399E-2</v>
      </c>
      <c r="K3" s="1">
        <v>9.5257853865384406E-2</v>
      </c>
      <c r="L3" s="1">
        <v>6.01582930272389E-2</v>
      </c>
      <c r="M3" s="1">
        <v>1.46084432103371E-3</v>
      </c>
      <c r="N3" s="1">
        <v>2.1088132858485499E-3</v>
      </c>
      <c r="O3" s="1">
        <v>3.8220993197897297E-2</v>
      </c>
      <c r="P3" s="1">
        <v>4.5921817100900403E-2</v>
      </c>
      <c r="Q3" s="1">
        <v>4.74343785502193E-2</v>
      </c>
      <c r="R3" s="1">
        <v>1.03321446938492E-3</v>
      </c>
      <c r="S3" s="1">
        <v>1.6999070191533699E-3</v>
      </c>
      <c r="T3" s="1">
        <v>3.2143653640880898E-2</v>
      </c>
      <c r="U3" s="1">
        <v>4.1229928682370701E-2</v>
      </c>
    </row>
    <row r="4" spans="1:21" x14ac:dyDescent="0.25">
      <c r="A4" s="2">
        <v>0.25</v>
      </c>
      <c r="B4" s="1">
        <v>0.30148349838994898</v>
      </c>
      <c r="C4" s="1">
        <v>6.5516416036980996E-2</v>
      </c>
      <c r="D4" s="1">
        <v>7.5554270174191196E-2</v>
      </c>
      <c r="E4" s="1">
        <v>0.25596174721426801</v>
      </c>
      <c r="F4" s="1">
        <v>0.27487137023377101</v>
      </c>
      <c r="G4" s="1">
        <v>0.141628840669801</v>
      </c>
      <c r="H4" s="1">
        <v>9.1102376223728999E-3</v>
      </c>
      <c r="I4" s="1">
        <v>9.8485026332092596E-3</v>
      </c>
      <c r="J4" s="1">
        <v>9.5447564779688798E-2</v>
      </c>
      <c r="K4" s="1">
        <v>9.9239622294773205E-2</v>
      </c>
      <c r="L4" s="1">
        <v>6.6936317596906297E-2</v>
      </c>
      <c r="M4" s="1">
        <v>2.0142970456615899E-3</v>
      </c>
      <c r="N4" s="1">
        <v>2.5927977347484799E-3</v>
      </c>
      <c r="O4" s="1">
        <v>4.4880920730992001E-2</v>
      </c>
      <c r="P4" s="1">
        <v>5.0919522137864499E-2</v>
      </c>
      <c r="Q4" s="1">
        <v>5.4372872512380099E-2</v>
      </c>
      <c r="R4" s="1">
        <v>1.53075026109492E-3</v>
      </c>
      <c r="S4" s="1">
        <v>2.24211140569599E-3</v>
      </c>
      <c r="T4" s="1">
        <v>3.9124803655672502E-2</v>
      </c>
      <c r="U4" s="1">
        <v>4.7350938804800798E-2</v>
      </c>
    </row>
    <row r="5" spans="1:21" x14ac:dyDescent="0.25">
      <c r="A5" s="2">
        <v>0.5</v>
      </c>
      <c r="B5" s="1">
        <v>0.31264965798663602</v>
      </c>
      <c r="C5" s="1">
        <v>6.6549147657569502E-2</v>
      </c>
      <c r="D5" s="1">
        <v>7.5093004621400603E-2</v>
      </c>
      <c r="E5" s="1">
        <v>0.25797121478484603</v>
      </c>
      <c r="F5" s="1">
        <v>0.27403102857413902</v>
      </c>
      <c r="G5" s="1">
        <v>0.145671058128994</v>
      </c>
      <c r="H5" s="1">
        <v>9.8701908698476497E-3</v>
      </c>
      <c r="I5" s="1">
        <v>1.1476617204522E-2</v>
      </c>
      <c r="J5" s="1">
        <v>9.9348834265167094E-2</v>
      </c>
      <c r="K5" s="1">
        <v>0.107128974626485</v>
      </c>
      <c r="L5" s="1">
        <v>7.3610354265760597E-2</v>
      </c>
      <c r="M5" s="1">
        <v>2.4181777360540802E-3</v>
      </c>
      <c r="N5" s="1">
        <v>3.7656428993530899E-3</v>
      </c>
      <c r="O5" s="1">
        <v>4.9174970625858801E-2</v>
      </c>
      <c r="P5" s="1">
        <v>6.1364834387074498E-2</v>
      </c>
      <c r="Q5" s="1">
        <v>6.06267755515515E-2</v>
      </c>
      <c r="R5" s="1">
        <v>1.86544548742935E-3</v>
      </c>
      <c r="S5" s="1">
        <v>3.4298705317912198E-3</v>
      </c>
      <c r="T5" s="1">
        <v>4.3190803273721899E-2</v>
      </c>
      <c r="U5" s="1">
        <v>5.85650965319039E-2</v>
      </c>
    </row>
    <row r="6" spans="1:21" x14ac:dyDescent="0.25">
      <c r="A6" s="2">
        <v>0.75</v>
      </c>
      <c r="B6" s="1">
        <v>0.30824829754473199</v>
      </c>
      <c r="C6" s="1">
        <v>7.0720575340030206E-2</v>
      </c>
      <c r="D6" s="1">
        <v>7.3744982936366804E-2</v>
      </c>
      <c r="E6" s="1">
        <v>0.26593340395676102</v>
      </c>
      <c r="F6" s="1">
        <v>0.27156027496002899</v>
      </c>
      <c r="G6" s="1">
        <v>0.150702121103372</v>
      </c>
      <c r="H6" s="1">
        <v>9.9758315032507597E-3</v>
      </c>
      <c r="I6" s="1">
        <v>1.27177713842739E-2</v>
      </c>
      <c r="J6" s="1">
        <v>9.9879084413358299E-2</v>
      </c>
      <c r="K6" s="1">
        <v>0.112773096899366</v>
      </c>
      <c r="L6" s="1">
        <v>7.6625537610152505E-2</v>
      </c>
      <c r="M6" s="1">
        <v>2.5955025082181598E-3</v>
      </c>
      <c r="N6" s="1">
        <v>4.2509714062525898E-3</v>
      </c>
      <c r="O6" s="1">
        <v>5.09460745123523E-2</v>
      </c>
      <c r="P6" s="1">
        <v>6.5199473972207697E-2</v>
      </c>
      <c r="Q6" s="1">
        <v>6.35854159314094E-2</v>
      </c>
      <c r="R6" s="1">
        <v>1.95507524204641E-3</v>
      </c>
      <c r="S6" s="1">
        <v>3.9265884728845899E-3</v>
      </c>
      <c r="T6" s="1">
        <v>4.42162327889477E-2</v>
      </c>
      <c r="U6" s="1">
        <v>6.2662496542067306E-2</v>
      </c>
    </row>
    <row r="7" spans="1:21" x14ac:dyDescent="0.25">
      <c r="A7" s="2">
        <v>1</v>
      </c>
      <c r="B7" s="1">
        <v>0.36787786094935099</v>
      </c>
      <c r="C7" s="1">
        <v>0.103845650457818</v>
      </c>
      <c r="D7" s="1">
        <v>0.126149451475293</v>
      </c>
      <c r="E7" s="1">
        <v>0.32225091226840302</v>
      </c>
      <c r="F7" s="1">
        <v>0.35517524051556998</v>
      </c>
      <c r="G7" s="1">
        <v>0.15658709614261099</v>
      </c>
      <c r="H7" s="1">
        <v>1.07999706424249E-2</v>
      </c>
      <c r="I7" s="1">
        <v>1.25727551877564E-2</v>
      </c>
      <c r="J7" s="1">
        <v>0.103922907207338</v>
      </c>
      <c r="K7" s="1">
        <v>0.112128297890213</v>
      </c>
      <c r="L7" s="1">
        <v>7.8049964846516995E-2</v>
      </c>
      <c r="M7" s="1">
        <v>2.73365337727939E-3</v>
      </c>
      <c r="N7" s="1">
        <v>4.22255829334522E-3</v>
      </c>
      <c r="O7" s="1">
        <v>5.2284351170110002E-2</v>
      </c>
      <c r="P7" s="1">
        <v>6.4981214926663394E-2</v>
      </c>
      <c r="Q7" s="1">
        <v>6.3920676131931503E-2</v>
      </c>
      <c r="R7" s="1">
        <v>1.9999822349410401E-3</v>
      </c>
      <c r="S7" s="1">
        <v>3.8377035911228499E-3</v>
      </c>
      <c r="T7" s="1">
        <v>4.4721160930157398E-2</v>
      </c>
      <c r="U7" s="1">
        <v>6.1949201698834201E-2</v>
      </c>
    </row>
    <row r="8" spans="1:21" x14ac:dyDescent="0.25">
      <c r="A8" t="s">
        <v>0</v>
      </c>
      <c r="B8" s="1">
        <v>0.340622851095922</v>
      </c>
      <c r="C8" s="1">
        <v>8.4095264752422405E-2</v>
      </c>
      <c r="D8" s="1">
        <v>9.4438880910060405E-2</v>
      </c>
      <c r="E8" s="1">
        <v>0.28790516702496599</v>
      </c>
      <c r="F8" s="1">
        <v>0.30488507574257001</v>
      </c>
      <c r="G8" s="1">
        <v>0.14589177864990599</v>
      </c>
      <c r="H8" s="1">
        <v>9.6063374713905997E-3</v>
      </c>
      <c r="I8" s="1">
        <v>1.11379410265601E-2</v>
      </c>
      <c r="J8" s="1">
        <v>9.7913585595837294E-2</v>
      </c>
      <c r="K8" s="1">
        <v>0.105305569115244</v>
      </c>
      <c r="L8" s="1">
        <v>7.1076093469315094E-2</v>
      </c>
      <c r="M8" s="1">
        <v>2.2444949976493799E-3</v>
      </c>
      <c r="N8" s="1">
        <v>3.3881567239095801E-3</v>
      </c>
      <c r="O8" s="1">
        <v>4.7101462047442103E-2</v>
      </c>
      <c r="P8" s="1">
        <v>5.76773725049421E-2</v>
      </c>
      <c r="Q8" s="1">
        <v>5.7988023735498398E-2</v>
      </c>
      <c r="R8" s="1">
        <v>1.67689353897933E-3</v>
      </c>
      <c r="S8" s="1">
        <v>3.0272362041295999E-3</v>
      </c>
      <c r="T8" s="1">
        <v>4.0679330857876103E-2</v>
      </c>
      <c r="U8" s="1">
        <v>5.43515324519954E-2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2025-09-20T15:10:15Z</dcterms:created>
  <dcterms:modified xsi:type="dcterms:W3CDTF">2025-10-25T12:57:23Z</dcterms:modified>
</cp:coreProperties>
</file>