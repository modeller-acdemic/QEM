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ropbox\Uni\MSc AI\11 IRP\"/>
    </mc:Choice>
  </mc:AlternateContent>
  <xr:revisionPtr revIDLastSave="0" documentId="13_ncr:1_{47B3D6C1-2628-4752-867D-0D42711E46B9}" xr6:coauthVersionLast="47" xr6:coauthVersionMax="47" xr10:uidLastSave="{00000000-0000-0000-0000-000000000000}"/>
  <bookViews>
    <workbookView xWindow="-120" yWindow="-120" windowWidth="29040" windowHeight="15720" tabRatio="732" activeTab="8" xr2:uid="{279A2193-2337-4CF1-AFF8-438E1E6455B6}"/>
  </bookViews>
  <sheets>
    <sheet name="Wilcoxon" sheetId="6" r:id="rId1"/>
    <sheet name="Stratified Wilcoxon" sheetId="8" state="hidden" r:id="rId2"/>
    <sheet name="Bootstrap" sheetId="9" r:id="rId3"/>
    <sheet name="Mitigation Performance" sheetId="10" r:id="rId4"/>
    <sheet name="Mitigation Condensed" sheetId="11" r:id="rId5"/>
    <sheet name="Unmitigated" sheetId="12" r:id="rId6"/>
    <sheet name="Mitigation Nice" sheetId="14" r:id="rId7"/>
    <sheet name="Comparisons" sheetId="15" r:id="rId8"/>
    <sheet name="Removed MLP" sheetId="16" r:id="rId9"/>
  </sheets>
  <definedNames>
    <definedName name="_xlchart.v1.0" hidden="1">Wilcoxon!$A$18</definedName>
    <definedName name="_xlchart.v1.1" hidden="1">Wilcoxon!$A$19</definedName>
    <definedName name="_xlchart.v1.10" hidden="1">Wilcoxon!$B$17:$F$17</definedName>
    <definedName name="_xlchart.v1.11" hidden="1">Wilcoxon!$B$18:$F$18</definedName>
    <definedName name="_xlchart.v1.12" hidden="1">Wilcoxon!$B$19:$F$19</definedName>
    <definedName name="_xlchart.v1.13" hidden="1">Wilcoxon!$B$20:$F$20</definedName>
    <definedName name="_xlchart.v1.14" hidden="1">Wilcoxon!$B$21:$F$21</definedName>
    <definedName name="_xlchart.v1.15" hidden="1">Wilcoxon!$B$22:$F$22</definedName>
    <definedName name="_xlchart.v1.16" hidden="1">Wilcoxon!$B$23:$F$23</definedName>
    <definedName name="_xlchart.v1.17" hidden="1">Wilcoxon!$B$24:$F$24</definedName>
    <definedName name="_xlchart.v1.18" hidden="1">Wilcoxon!$B$25:$F$25</definedName>
    <definedName name="_xlchart.v1.19" hidden="1">Wilcoxon!$B$26:$F$26</definedName>
    <definedName name="_xlchart.v1.2" hidden="1">Wilcoxon!$A$20</definedName>
    <definedName name="_xlchart.v1.20" hidden="1">Wilcoxon!$B$27:$F$27</definedName>
    <definedName name="_xlchart.v1.3" hidden="1">Wilcoxon!$A$21</definedName>
    <definedName name="_xlchart.v1.4" hidden="1">Wilcoxon!$A$22</definedName>
    <definedName name="_xlchart.v1.5" hidden="1">Wilcoxon!$A$23</definedName>
    <definedName name="_xlchart.v1.6" hidden="1">Wilcoxon!$A$24</definedName>
    <definedName name="_xlchart.v1.7" hidden="1">Wilcoxon!$A$25</definedName>
    <definedName name="_xlchart.v1.8" hidden="1">Wilcoxon!$A$26</definedName>
    <definedName name="_xlchart.v1.9" hidden="1">Wilcoxon!$A$27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0" i="11" l="1"/>
  <c r="P70" i="11"/>
  <c r="O70" i="11"/>
  <c r="N70" i="11"/>
  <c r="P69" i="11"/>
  <c r="Q69" i="11"/>
  <c r="O69" i="11"/>
  <c r="N69" i="11"/>
  <c r="J16" i="15"/>
  <c r="K16" i="15"/>
  <c r="L16" i="15"/>
  <c r="M16" i="15"/>
  <c r="N16" i="15"/>
  <c r="J17" i="15"/>
  <c r="K17" i="15"/>
  <c r="L17" i="15"/>
  <c r="M17" i="15"/>
  <c r="N17" i="15"/>
  <c r="J18" i="15"/>
  <c r="K18" i="15"/>
  <c r="L18" i="15"/>
  <c r="M18" i="15"/>
  <c r="N18" i="15"/>
  <c r="J19" i="15"/>
  <c r="K19" i="15"/>
  <c r="L19" i="15"/>
  <c r="M19" i="15"/>
  <c r="N19" i="15"/>
  <c r="K15" i="15"/>
  <c r="L15" i="15"/>
  <c r="M15" i="15"/>
  <c r="N15" i="15"/>
  <c r="J15" i="15"/>
  <c r="R67" i="11"/>
  <c r="Q67" i="11"/>
  <c r="P67" i="11"/>
  <c r="O67" i="11"/>
  <c r="N67" i="11"/>
  <c r="K3" i="15"/>
  <c r="L3" i="15"/>
  <c r="M3" i="15"/>
  <c r="N3" i="15"/>
  <c r="K4" i="15"/>
  <c r="L4" i="15"/>
  <c r="M4" i="15"/>
  <c r="N4" i="15"/>
  <c r="K5" i="15"/>
  <c r="L5" i="15"/>
  <c r="M5" i="15"/>
  <c r="N5" i="15"/>
  <c r="K6" i="15"/>
  <c r="L6" i="15"/>
  <c r="M6" i="15"/>
  <c r="N6" i="15"/>
  <c r="K7" i="15"/>
  <c r="L7" i="15"/>
  <c r="M7" i="15"/>
  <c r="N7" i="15"/>
  <c r="K8" i="15"/>
  <c r="L8" i="15"/>
  <c r="M8" i="15"/>
  <c r="N8" i="15"/>
  <c r="K9" i="15"/>
  <c r="L9" i="15"/>
  <c r="M9" i="15"/>
  <c r="N9" i="15"/>
  <c r="K10" i="15"/>
  <c r="L10" i="15"/>
  <c r="M10" i="15"/>
  <c r="N10" i="15"/>
  <c r="J10" i="15"/>
  <c r="J9" i="15"/>
  <c r="J8" i="15"/>
  <c r="J7" i="15"/>
  <c r="J6" i="15"/>
  <c r="J5" i="15"/>
  <c r="J4" i="15"/>
  <c r="J3" i="15"/>
  <c r="R62" i="11"/>
  <c r="R63" i="11"/>
  <c r="R64" i="11"/>
  <c r="R65" i="11"/>
  <c r="R61" i="11"/>
  <c r="Q62" i="11"/>
  <c r="Q63" i="11"/>
  <c r="Q64" i="11"/>
  <c r="Q65" i="11"/>
  <c r="Q61" i="11"/>
  <c r="P62" i="11"/>
  <c r="P63" i="11"/>
  <c r="P64" i="11"/>
  <c r="P65" i="11"/>
  <c r="P61" i="11"/>
  <c r="O62" i="11"/>
  <c r="O63" i="11"/>
  <c r="O64" i="11"/>
  <c r="O65" i="11"/>
  <c r="O61" i="11"/>
  <c r="N62" i="11"/>
  <c r="N63" i="11"/>
  <c r="N64" i="11"/>
  <c r="N65" i="11"/>
  <c r="N61" i="11"/>
  <c r="W48" i="11"/>
  <c r="V48" i="11"/>
  <c r="U48" i="11"/>
  <c r="T48" i="11"/>
  <c r="S48" i="11"/>
  <c r="R48" i="11"/>
  <c r="Q48" i="11"/>
  <c r="P48" i="11"/>
  <c r="O48" i="11"/>
  <c r="N48" i="11"/>
  <c r="W39" i="11"/>
  <c r="V39" i="11"/>
  <c r="U39" i="11"/>
  <c r="T39" i="11"/>
  <c r="S39" i="11"/>
  <c r="R39" i="11"/>
  <c r="Q39" i="11"/>
  <c r="P39" i="11"/>
  <c r="O39" i="11"/>
  <c r="N39" i="11"/>
  <c r="W30" i="11"/>
  <c r="V30" i="11"/>
  <c r="U30" i="11"/>
  <c r="T30" i="11"/>
  <c r="S30" i="11"/>
  <c r="R30" i="11"/>
  <c r="Q30" i="11"/>
  <c r="P30" i="11"/>
  <c r="O30" i="11"/>
  <c r="N30" i="11"/>
  <c r="W21" i="11"/>
  <c r="V21" i="11"/>
  <c r="U21" i="11"/>
  <c r="T21" i="11"/>
  <c r="S21" i="11"/>
  <c r="R21" i="11"/>
  <c r="Q21" i="11"/>
  <c r="P21" i="11"/>
  <c r="O21" i="11"/>
  <c r="N21" i="11"/>
  <c r="O12" i="11"/>
  <c r="P12" i="11"/>
  <c r="Q12" i="11"/>
  <c r="R12" i="11"/>
  <c r="S12" i="11"/>
  <c r="T12" i="11"/>
  <c r="U12" i="11"/>
  <c r="V12" i="11"/>
  <c r="W12" i="11"/>
  <c r="N12" i="11"/>
  <c r="G18" i="6"/>
  <c r="G19" i="6"/>
  <c r="G20" i="6"/>
  <c r="G21" i="6"/>
  <c r="G22" i="6"/>
  <c r="G23" i="6"/>
  <c r="G24" i="6"/>
  <c r="G25" i="6"/>
  <c r="G26" i="6"/>
  <c r="G27" i="6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3" i="14"/>
  <c r="G47" i="14"/>
  <c r="F47" i="14"/>
  <c r="E47" i="14"/>
  <c r="D47" i="14"/>
  <c r="C47" i="14"/>
  <c r="G46" i="14"/>
  <c r="F46" i="14"/>
  <c r="E46" i="14"/>
  <c r="D46" i="14"/>
  <c r="C46" i="14"/>
  <c r="G45" i="14"/>
  <c r="F45" i="14"/>
  <c r="E45" i="14"/>
  <c r="D45" i="14"/>
  <c r="C45" i="14"/>
  <c r="G44" i="14"/>
  <c r="F44" i="14"/>
  <c r="E44" i="14"/>
  <c r="D44" i="14"/>
  <c r="C44" i="14"/>
  <c r="G43" i="14"/>
  <c r="F43" i="14"/>
  <c r="E43" i="14"/>
  <c r="D43" i="14"/>
  <c r="C43" i="14"/>
  <c r="G42" i="14"/>
  <c r="F42" i="14"/>
  <c r="E42" i="14"/>
  <c r="D42" i="14"/>
  <c r="C42" i="14"/>
  <c r="G41" i="14"/>
  <c r="F41" i="14"/>
  <c r="E41" i="14"/>
  <c r="D41" i="14"/>
  <c r="C41" i="14"/>
  <c r="G40" i="14"/>
  <c r="F40" i="14"/>
  <c r="E40" i="14"/>
  <c r="D40" i="14"/>
  <c r="C40" i="14"/>
  <c r="G39" i="14"/>
  <c r="F39" i="14"/>
  <c r="E39" i="14"/>
  <c r="D39" i="14"/>
  <c r="C39" i="14"/>
  <c r="G38" i="14"/>
  <c r="F38" i="14"/>
  <c r="E38" i="14"/>
  <c r="D38" i="14"/>
  <c r="C38" i="14"/>
  <c r="G37" i="14"/>
  <c r="F37" i="14"/>
  <c r="E37" i="14"/>
  <c r="D37" i="14"/>
  <c r="C37" i="14"/>
  <c r="G36" i="14"/>
  <c r="F36" i="14"/>
  <c r="E36" i="14"/>
  <c r="D36" i="14"/>
  <c r="C36" i="14"/>
  <c r="G35" i="14"/>
  <c r="F35" i="14"/>
  <c r="E35" i="14"/>
  <c r="D35" i="14"/>
  <c r="C35" i="14"/>
  <c r="G34" i="14"/>
  <c r="F34" i="14"/>
  <c r="E34" i="14"/>
  <c r="D34" i="14"/>
  <c r="C34" i="14"/>
  <c r="G33" i="14"/>
  <c r="F33" i="14"/>
  <c r="E33" i="14"/>
  <c r="D33" i="14"/>
  <c r="C33" i="14"/>
  <c r="G32" i="14"/>
  <c r="F32" i="14"/>
  <c r="E32" i="14"/>
  <c r="D32" i="14"/>
  <c r="C32" i="14"/>
  <c r="G31" i="14"/>
  <c r="F31" i="14"/>
  <c r="E31" i="14"/>
  <c r="D31" i="14"/>
  <c r="C31" i="14"/>
  <c r="G30" i="14"/>
  <c r="F30" i="14"/>
  <c r="E30" i="14"/>
  <c r="D30" i="14"/>
  <c r="C30" i="14"/>
  <c r="G29" i="14"/>
  <c r="F29" i="14"/>
  <c r="E29" i="14"/>
  <c r="D29" i="14"/>
  <c r="C29" i="14"/>
  <c r="G28" i="14"/>
  <c r="F28" i="14"/>
  <c r="E28" i="14"/>
  <c r="D28" i="14"/>
  <c r="C28" i="14"/>
  <c r="G27" i="14"/>
  <c r="F27" i="14"/>
  <c r="E27" i="14"/>
  <c r="D27" i="14"/>
  <c r="C27" i="14"/>
  <c r="G26" i="14"/>
  <c r="F26" i="14"/>
  <c r="E26" i="14"/>
  <c r="D26" i="14"/>
  <c r="C26" i="14"/>
  <c r="G25" i="14"/>
  <c r="F25" i="14"/>
  <c r="E25" i="14"/>
  <c r="D25" i="14"/>
  <c r="C25" i="14"/>
  <c r="G24" i="14"/>
  <c r="F24" i="14"/>
  <c r="E24" i="14"/>
  <c r="D24" i="14"/>
  <c r="C24" i="14"/>
  <c r="G23" i="14"/>
  <c r="F23" i="14"/>
  <c r="E23" i="14"/>
  <c r="D23" i="14"/>
  <c r="C23" i="14"/>
  <c r="G22" i="14"/>
  <c r="F22" i="14"/>
  <c r="E22" i="14"/>
  <c r="D22" i="14"/>
  <c r="C22" i="14"/>
  <c r="G21" i="14"/>
  <c r="F21" i="14"/>
  <c r="E21" i="14"/>
  <c r="D21" i="14"/>
  <c r="C21" i="14"/>
  <c r="G20" i="14"/>
  <c r="F20" i="14"/>
  <c r="E20" i="14"/>
  <c r="D20" i="14"/>
  <c r="C20" i="14"/>
  <c r="G19" i="14"/>
  <c r="F19" i="14"/>
  <c r="E19" i="14"/>
  <c r="D19" i="14"/>
  <c r="C19" i="14"/>
  <c r="G18" i="14"/>
  <c r="F18" i="14"/>
  <c r="E18" i="14"/>
  <c r="D18" i="14"/>
  <c r="C18" i="14"/>
  <c r="G17" i="14"/>
  <c r="F17" i="14"/>
  <c r="E17" i="14"/>
  <c r="D17" i="14"/>
  <c r="C17" i="14"/>
  <c r="G16" i="14"/>
  <c r="F16" i="14"/>
  <c r="E16" i="14"/>
  <c r="D16" i="14"/>
  <c r="C16" i="14"/>
  <c r="G15" i="14"/>
  <c r="F15" i="14"/>
  <c r="E15" i="14"/>
  <c r="D15" i="14"/>
  <c r="C15" i="14"/>
  <c r="G14" i="14"/>
  <c r="F14" i="14"/>
  <c r="E14" i="14"/>
  <c r="D14" i="14"/>
  <c r="C14" i="14"/>
  <c r="G13" i="14"/>
  <c r="F13" i="14"/>
  <c r="E13" i="14"/>
  <c r="D13" i="14"/>
  <c r="C13" i="14"/>
  <c r="G12" i="14"/>
  <c r="F12" i="14"/>
  <c r="E12" i="14"/>
  <c r="D12" i="14"/>
  <c r="C12" i="14"/>
  <c r="G11" i="14"/>
  <c r="F11" i="14"/>
  <c r="E11" i="14"/>
  <c r="D11" i="14"/>
  <c r="C11" i="14"/>
  <c r="G10" i="14"/>
  <c r="F10" i="14"/>
  <c r="E10" i="14"/>
  <c r="D10" i="14"/>
  <c r="C10" i="14"/>
  <c r="G9" i="14"/>
  <c r="F9" i="14"/>
  <c r="E9" i="14"/>
  <c r="D9" i="14"/>
  <c r="C9" i="14"/>
  <c r="G8" i="14"/>
  <c r="F8" i="14"/>
  <c r="E8" i="14"/>
  <c r="D8" i="14"/>
  <c r="C8" i="14"/>
  <c r="G7" i="14"/>
  <c r="F7" i="14"/>
  <c r="E7" i="14"/>
  <c r="D7" i="14"/>
  <c r="C7" i="14"/>
  <c r="G6" i="14"/>
  <c r="F6" i="14"/>
  <c r="E6" i="14"/>
  <c r="D6" i="14"/>
  <c r="C6" i="14"/>
  <c r="G5" i="14"/>
  <c r="F5" i="14"/>
  <c r="E5" i="14"/>
  <c r="D5" i="14"/>
  <c r="C5" i="14"/>
  <c r="G4" i="14"/>
  <c r="F4" i="14"/>
  <c r="E4" i="14"/>
  <c r="D4" i="14"/>
  <c r="C4" i="14"/>
  <c r="G3" i="14"/>
  <c r="F3" i="14"/>
  <c r="E3" i="14"/>
  <c r="D3" i="14"/>
  <c r="C3" i="14"/>
  <c r="A19" i="9" l="1"/>
  <c r="A20" i="9"/>
  <c r="A21" i="9"/>
  <c r="A18" i="9"/>
  <c r="F19" i="9"/>
  <c r="F20" i="9"/>
  <c r="F21" i="9"/>
  <c r="F18" i="9"/>
  <c r="E19" i="9"/>
  <c r="E20" i="9"/>
  <c r="E21" i="9"/>
  <c r="E18" i="9"/>
  <c r="D19" i="9"/>
  <c r="D20" i="9"/>
  <c r="D21" i="9"/>
  <c r="D18" i="9"/>
  <c r="C19" i="9"/>
  <c r="C20" i="9"/>
  <c r="C21" i="9"/>
  <c r="C18" i="9"/>
  <c r="B19" i="9"/>
  <c r="B20" i="9"/>
  <c r="B21" i="9"/>
  <c r="B18" i="9"/>
</calcChain>
</file>

<file path=xl/sharedStrings.xml><?xml version="1.0" encoding="utf-8"?>
<sst xmlns="http://schemas.openxmlformats.org/spreadsheetml/2006/main" count="1024" uniqueCount="280">
  <si>
    <t>first factor</t>
  </si>
  <si>
    <t>second factor</t>
  </si>
  <si>
    <t>Retuned RF</t>
  </si>
  <si>
    <t>GBR</t>
  </si>
  <si>
    <t>RF Retest</t>
  </si>
  <si>
    <t>p</t>
  </si>
  <si>
    <t>RF</t>
  </si>
  <si>
    <t>Wilcoxon signed-rank test (L2)</t>
  </si>
  <si>
    <t>Effect Size</t>
  </si>
  <si>
    <t>CI</t>
  </si>
  <si>
    <t>First Factor</t>
  </si>
  <si>
    <t>Second Factor</t>
  </si>
  <si>
    <t>% Change</t>
  </si>
  <si>
    <t>Median Diff. (L2)</t>
  </si>
  <si>
    <t>Stratitfied Wilcoxon (L2)</t>
  </si>
  <si>
    <t>Baseline</t>
  </si>
  <si>
    <t>RFRetuned</t>
  </si>
  <si>
    <t>[0.009, 0.016]</t>
  </si>
  <si>
    <t>[-0.003, 0.001]</t>
  </si>
  <si>
    <t>[-0.001, 0.005]</t>
  </si>
  <si>
    <t>[0.010, 0.019]</t>
  </si>
  <si>
    <t>[-0.002, 0.001]</t>
  </si>
  <si>
    <t>[0.001, 0.005]</t>
  </si>
  <si>
    <t>[0.010, 0.015]</t>
  </si>
  <si>
    <t>[0.004, 0.014]</t>
  </si>
  <si>
    <t>[0.006, 0.014]</t>
  </si>
  <si>
    <t>[-0.002, 0.002]</t>
  </si>
  <si>
    <t>[0.030, 0.098]</t>
  </si>
  <si>
    <t>[-0.010, 0.017]</t>
  </si>
  <si>
    <t>[-0.009, -0.005]</t>
  </si>
  <si>
    <t>[0.015, 0.022]</t>
  </si>
  <si>
    <t>[-0.044, -0.030]</t>
  </si>
  <si>
    <t>[-0.005, -0.000]</t>
  </si>
  <si>
    <t>[0.000, 0.000]</t>
  </si>
  <si>
    <t>[-0.011, 0.007]</t>
  </si>
  <si>
    <t>[0.006, 0.011]</t>
  </si>
  <si>
    <t>[0.017, 0.042]</t>
  </si>
  <si>
    <t>[-0.010, -0.005]</t>
  </si>
  <si>
    <t>[-0.091, -0.076]</t>
  </si>
  <si>
    <t>[-0.044, -0.027]</t>
  </si>
  <si>
    <t>[-0.007, 0.001]</t>
  </si>
  <si>
    <t>[-0.079, 0.000]</t>
  </si>
  <si>
    <t>[-0.007, 0.014]</t>
  </si>
  <si>
    <t>[0.007, 0.008]</t>
  </si>
  <si>
    <t>[-0.100, -0.096]</t>
  </si>
  <si>
    <t>[0.032, 0.048]</t>
  </si>
  <si>
    <t>[0.001, 0.007]</t>
  </si>
  <si>
    <t>[-0.022, 0.071]</t>
  </si>
  <si>
    <t>[0.027, 0.043]</t>
  </si>
  <si>
    <t>[0.011, 0.016]</t>
  </si>
  <si>
    <t>[-0.022, -0.010]</t>
  </si>
  <si>
    <t>[0.062, 0.077]</t>
  </si>
  <si>
    <t>[0.027, 0.040]</t>
  </si>
  <si>
    <t>DT</t>
  </si>
  <si>
    <t>Model</t>
  </si>
  <si>
    <t>rt</t>
  </si>
  <si>
    <t>L2 Median</t>
  </si>
  <si>
    <t>L2 P-Value</t>
  </si>
  <si>
    <t>Proportion</t>
  </si>
  <si>
    <t>circuit_family</t>
  </si>
  <si>
    <t>n</t>
  </si>
  <si>
    <t>d</t>
  </si>
  <si>
    <t>RB</t>
  </si>
  <si>
    <t>mirror</t>
  </si>
  <si>
    <t>Group Value</t>
  </si>
  <si>
    <t>L2 Unmitigated Median</t>
  </si>
  <si>
    <t>L2 Unmitigated P-Value</t>
  </si>
  <si>
    <t>Retest</t>
  </si>
  <si>
    <t>depth = 1</t>
  </si>
  <si>
    <t>depth = 3</t>
  </si>
  <si>
    <t>depth = 5</t>
  </si>
  <si>
    <t>depth = 7</t>
  </si>
  <si>
    <t>depth = 9</t>
  </si>
  <si>
    <t>length = 3</t>
  </si>
  <si>
    <t>length = 5</t>
  </si>
  <si>
    <t>Unmitigated Error</t>
  </si>
  <si>
    <t>Unmitigated Error (retest)</t>
  </si>
  <si>
    <t>L2 Median (p)</t>
  </si>
  <si>
    <t>0.080 (0.000)</t>
  </si>
  <si>
    <t>0.107 (0.000)</t>
  </si>
  <si>
    <t>0.022 (0.000)</t>
  </si>
  <si>
    <t>0.039 (0.000)</t>
  </si>
  <si>
    <t>0.083 (0.000)</t>
  </si>
  <si>
    <t>0.104 (0.000)</t>
  </si>
  <si>
    <t>0.000 (1.000)</t>
  </si>
  <si>
    <t>0.060 (0.000)</t>
  </si>
  <si>
    <t>0.041 (0.000)</t>
  </si>
  <si>
    <t>0.090 (0.000)</t>
  </si>
  <si>
    <t>0.110 (0.000)</t>
  </si>
  <si>
    <t>0.042 (0.000)</t>
  </si>
  <si>
    <t>0.120 (0.000)</t>
  </si>
  <si>
    <t>0.140 (0.000)</t>
  </si>
  <si>
    <t>0.188 (0.020)</t>
  </si>
  <si>
    <t>0.078 (0.000)</t>
  </si>
  <si>
    <t>0.127 (0.000)</t>
  </si>
  <si>
    <t>0.113 (0.000)</t>
  </si>
  <si>
    <t>0.135 (0.000)</t>
  </si>
  <si>
    <t>0.136 (0.000)</t>
  </si>
  <si>
    <t>0.119 (0.000)</t>
  </si>
  <si>
    <t>0.134 (0.000)</t>
  </si>
  <si>
    <t>0.126 (0.000)</t>
  </si>
  <si>
    <t>0.017 (0.000)</t>
  </si>
  <si>
    <t>0.043 (0.000)</t>
  </si>
  <si>
    <t>0.121 (0.000)</t>
  </si>
  <si>
    <t>0.122 (0.000)</t>
  </si>
  <si>
    <t>0.132 (0.000)</t>
  </si>
  <si>
    <t>0.161 (0.000)</t>
  </si>
  <si>
    <t>0.087 (0.000)</t>
  </si>
  <si>
    <t>0.131 (0.000)</t>
  </si>
  <si>
    <t>0.145 (0.000)</t>
  </si>
  <si>
    <t>0.010 (0.000)</t>
  </si>
  <si>
    <t>0.115 (0.000)</t>
  </si>
  <si>
    <t>0.086 (0.000)</t>
  </si>
  <si>
    <t>0.058 (0.000)</t>
  </si>
  <si>
    <t>0.060 (0.003)</t>
  </si>
  <si>
    <t>0.086 (0.098)</t>
  </si>
  <si>
    <t>0.044 (0.005)</t>
  </si>
  <si>
    <t>0.074 (0.000)</t>
  </si>
  <si>
    <t>0.108 (0.000)</t>
  </si>
  <si>
    <t>0.021 (0.000)</t>
  </si>
  <si>
    <t>0.029 (0.006)</t>
  </si>
  <si>
    <t>0.066 (0.000)</t>
  </si>
  <si>
    <t>0.091 (0.000)</t>
  </si>
  <si>
    <t>0.105 (0.000)</t>
  </si>
  <si>
    <t>0.069 (0.000)</t>
  </si>
  <si>
    <t>0.063 (0.000)</t>
  </si>
  <si>
    <t>0.085 (0.000)</t>
  </si>
  <si>
    <t>0.076 (0.000)</t>
  </si>
  <si>
    <t>0.065 (0.000)</t>
  </si>
  <si>
    <t>0.062 (0.017)</t>
  </si>
  <si>
    <t>0.082 (0.000)</t>
  </si>
  <si>
    <t>0.111 (0.000)</t>
  </si>
  <si>
    <t>0.109 (0.000)</t>
  </si>
  <si>
    <t>0.038 (0.100)</t>
  </si>
  <si>
    <t>0.088 (0.000)</t>
  </si>
  <si>
    <t>0.023 (0.001)</t>
  </si>
  <si>
    <t>0.070 (0.000)</t>
  </si>
  <si>
    <t>0.062 (0.000)</t>
  </si>
  <si>
    <t>0.081 (0.000)</t>
  </si>
  <si>
    <t>0.099 (0.000)</t>
  </si>
  <si>
    <t>0.114 (0.000)</t>
  </si>
  <si>
    <t>0.077 (0.000)</t>
  </si>
  <si>
    <t>0.106 (0.000)</t>
  </si>
  <si>
    <t>0.123 (0.000)</t>
  </si>
  <si>
    <t>0.094 (0.814)</t>
  </si>
  <si>
    <t>0.058 (0.071)</t>
  </si>
  <si>
    <t>0.103 (0.000)</t>
  </si>
  <si>
    <t>0.073 (0.000)</t>
  </si>
  <si>
    <t>0.116 (0.000)</t>
  </si>
  <si>
    <t>0.034 (0.001)</t>
  </si>
  <si>
    <t>0.068 (0.019)</t>
  </si>
  <si>
    <t>0.125 (0.000)</t>
  </si>
  <si>
    <t>0.080 (0.814)</t>
  </si>
  <si>
    <t>0.066 (0.019)</t>
  </si>
  <si>
    <t>0.128 (0.000)</t>
  </si>
  <si>
    <t>0.004 (0.814)</t>
  </si>
  <si>
    <t>0.070 (0.019)</t>
  </si>
  <si>
    <t>0.071 (0.000)</t>
  </si>
  <si>
    <t>0.075 (0.000)</t>
  </si>
  <si>
    <t>0.095 (0.000)</t>
  </si>
  <si>
    <t>0.129 (0.000)</t>
  </si>
  <si>
    <t>0.093 (0.000)</t>
  </si>
  <si>
    <t>0.037 (0.001)</t>
  </si>
  <si>
    <t>0.068 (0.000)</t>
  </si>
  <si>
    <t>0.142 (0.000)</t>
  </si>
  <si>
    <t>0.003 (0.814)</t>
  </si>
  <si>
    <t>0.072 (0.000)</t>
  </si>
  <si>
    <t>0.097 (0.000)</t>
  </si>
  <si>
    <t>0.067 (0.000)</t>
  </si>
  <si>
    <t>0.057 (0.000)</t>
  </si>
  <si>
    <t>0.130 (0.000)</t>
  </si>
  <si>
    <t>0.092 (0.000)</t>
  </si>
  <si>
    <t>0.117 (0.000)</t>
  </si>
  <si>
    <t>0.138 (0.000)</t>
  </si>
  <si>
    <t>0.058 (0.008)</t>
  </si>
  <si>
    <t>0.046 (0.002)</t>
  </si>
  <si>
    <t>0.028 (0.000)</t>
  </si>
  <si>
    <t>0.052 (0.009)</t>
  </si>
  <si>
    <t>0.052 (0.138)</t>
  </si>
  <si>
    <t>0.050 (0.138)</t>
  </si>
  <si>
    <t>0-25%</t>
  </si>
  <si>
    <t>0-50%</t>
  </si>
  <si>
    <t>0-75%</t>
  </si>
  <si>
    <t>0-100%</t>
  </si>
  <si>
    <t>25-50%</t>
  </si>
  <si>
    <t>25-75%</t>
  </si>
  <si>
    <t>25-100%</t>
  </si>
  <si>
    <t>50-75%</t>
  </si>
  <si>
    <t>50-100%</t>
  </si>
  <si>
    <t>75-100%</t>
  </si>
  <si>
    <t>Factor</t>
  </si>
  <si>
    <t>[-0.006, 0.004]</t>
  </si>
  <si>
    <t>[-0.004, 0.004]</t>
  </si>
  <si>
    <t>[-0.001, 0.010]</t>
  </si>
  <si>
    <t>[0.001, 0.004]</t>
  </si>
  <si>
    <t>[0.001, 0.006]</t>
  </si>
  <si>
    <t>[0.008, 0.015]</t>
  </si>
  <si>
    <t>[-0.001, 0.004]</t>
  </si>
  <si>
    <t>[0.008, 0.014]</t>
  </si>
  <si>
    <t>[0.005, 0.011]</t>
  </si>
  <si>
    <t>Wilcoxon</t>
  </si>
  <si>
    <t>0.000 [-0.003, 0.001]; .657</t>
  </si>
  <si>
    <t>0.000 [-0.002, 0.002]; .216</t>
  </si>
  <si>
    <t>0.076 [0.030, 0.098]; .000</t>
  </si>
  <si>
    <t>-0.001 [-0.010, 0.017]; .616</t>
  </si>
  <si>
    <t>-0.002 [-0.006, 0.004]; .588</t>
  </si>
  <si>
    <t>-0.001 [-0.003, 0.001]; .594</t>
  </si>
  <si>
    <t>-0.007 [-0.009, -0.005]; .000</t>
  </si>
  <si>
    <t>0.021 [0.015, 0.022]; .564</t>
  </si>
  <si>
    <t>-0.035 [-0.044, -0.030]; .000</t>
  </si>
  <si>
    <t>-0.001 [-0.004, 0.004]; .298</t>
  </si>
  <si>
    <t>0.001 [-0.001, 0.005]; .003</t>
  </si>
  <si>
    <t>-0.002 [-0.005, -0.000]; .006</t>
  </si>
  <si>
    <t>0.000 [0.000, 0.000]; .611</t>
  </si>
  <si>
    <t>-0.005 [-0.011, 0.007]; .847</t>
  </si>
  <si>
    <t>0.005 [-0.001, 0.010]; .001</t>
  </si>
  <si>
    <t>0.015 [0.010, 0.019]; .000</t>
  </si>
  <si>
    <t>0.008 [0.006, 0.011]; .000</t>
  </si>
  <si>
    <t>0.000 [0.000, 0.000]; .001</t>
  </si>
  <si>
    <t>0.030 [0.017, 0.042]; .000</t>
  </si>
  <si>
    <t>0.011 [0.009, 0.016]; .000</t>
  </si>
  <si>
    <t>-0.000 [-0.002, 0.001]; .852</t>
  </si>
  <si>
    <t>-0.007 [-0.010, -0.005]; .000</t>
  </si>
  <si>
    <t>-0.086 [-0.091, -0.076]; .000</t>
  </si>
  <si>
    <t>-0.031 [-0.044, -0.027]; .000</t>
  </si>
  <si>
    <t>0.002 [0.001, 0.004]; .027</t>
  </si>
  <si>
    <t>0.004 [0.001, 0.005]; .000</t>
  </si>
  <si>
    <t>-0.004 [-0.007, 0.001]; .005</t>
  </si>
  <si>
    <t>-0.069 [-0.079, 0.000]; .000</t>
  </si>
  <si>
    <t>0.006 [-0.007, 0.014]; .927</t>
  </si>
  <si>
    <t>0.003 [0.001, 0.006]; .000</t>
  </si>
  <si>
    <t>0.012 [0.009, 0.016]; .000</t>
  </si>
  <si>
    <t>0.007 [0.007, 0.008]; .000</t>
  </si>
  <si>
    <t>-0.098 [-0.100, -0.096]; .000</t>
  </si>
  <si>
    <t>0.043 [0.032, 0.048]; .000</t>
  </si>
  <si>
    <t>0.013 [0.008, 0.015]; .000</t>
  </si>
  <si>
    <t>0.003 [0.001, 0.005]; .001</t>
  </si>
  <si>
    <t>0.004 [0.001, 0.007]; .008</t>
  </si>
  <si>
    <t>-0.019 [-0.022, 0.071]; .046</t>
  </si>
  <si>
    <t>0.039 [0.027, 0.043]; .000</t>
  </si>
  <si>
    <t>0.001 [-0.001, 0.004]; .161</t>
  </si>
  <si>
    <t>0.011 [0.010, 0.015]; .000</t>
  </si>
  <si>
    <t>0.015 [0.011, 0.016]; .000</t>
  </si>
  <si>
    <t>-0.022 [-0.022, -0.010]; .000</t>
  </si>
  <si>
    <t>0.069 [0.062, 0.077]; .000</t>
  </si>
  <si>
    <t>0.011 [0.008, 0.014]; .000</t>
  </si>
  <si>
    <t>0.007 [0.004, 0.014]; .000</t>
  </si>
  <si>
    <t>0.010 [0.006, 0.014]; .000</t>
  </si>
  <si>
    <t>0.000 [0.000, 0.000]; .000</t>
  </si>
  <si>
    <t>0.036 [0.027, 0.040]; .000</t>
  </si>
  <si>
    <t>0.008 [0.005, 0.011]; .000</t>
  </si>
  <si>
    <t>Stratified Wilcoxon</t>
  </si>
  <si>
    <t>Average</t>
  </si>
  <si>
    <t>Median Median</t>
  </si>
  <si>
    <t>RF unmit</t>
  </si>
  <si>
    <t>RF retest unmit</t>
  </si>
  <si>
    <t>Family</t>
  </si>
  <si>
    <t>Unmit.</t>
  </si>
  <si>
    <t>Unmit. (retest)</t>
  </si>
  <si>
    <t>Mirror</t>
  </si>
  <si>
    <t>perf change from 0-100%</t>
  </si>
  <si>
    <t>d=1</t>
  </si>
  <si>
    <t>d=3</t>
  </si>
  <si>
    <t>d=5</t>
  </si>
  <si>
    <t>d=9</t>
  </si>
  <si>
    <t>n=3</t>
  </si>
  <si>
    <t>n=5</t>
  </si>
  <si>
    <t>Circuit</t>
  </si>
  <si>
    <t>perf change from RB to mirror</t>
  </si>
  <si>
    <t>std dev</t>
  </si>
  <si>
    <t>median test</t>
  </si>
  <si>
    <t>median train</t>
  </si>
  <si>
    <t>mean test</t>
  </si>
  <si>
    <t>RMSE Training</t>
  </si>
  <si>
    <t>RMSE Validation</t>
  </si>
  <si>
    <t>Training Data</t>
  </si>
  <si>
    <t>Test Data</t>
  </si>
  <si>
    <t>Median RMSE</t>
  </si>
  <si>
    <t>Median RMSE (standardised)</t>
  </si>
  <si>
    <t>d=7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</si>
</sst>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9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2" fontId="0" fillId="0" borderId="0" xfId="0" applyNumberFormat="1"/>
    <xf numFmtId="9" fontId="0" fillId="0" borderId="0" xfId="1" applyFont="1"/>
    <xf numFmtId="0" fontId="0" fillId="0" borderId="0" xfId="0" applyAlignment="1"/>
    <xf numFmtId="164" fontId="0" fillId="3" borderId="0" xfId="0" applyNumberFormat="1" applyFill="1"/>
    <xf numFmtId="2" fontId="1" fillId="0" borderId="0" xfId="0" applyNumberFormat="1" applyFont="1"/>
    <xf numFmtId="0" fontId="0" fillId="0" borderId="0" xfId="0" applyAlignment="1">
      <alignment wrapText="1"/>
    </xf>
    <xf numFmtId="164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Statistically Significant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Wilcoxon!$A$18:$A$27</c:f>
              <c:strCache>
                <c:ptCount val="10"/>
                <c:pt idx="0">
                  <c:v>0-25%</c:v>
                </c:pt>
                <c:pt idx="1">
                  <c:v>0-50%</c:v>
                </c:pt>
                <c:pt idx="2">
                  <c:v>0-75%</c:v>
                </c:pt>
                <c:pt idx="3">
                  <c:v>0-100%</c:v>
                </c:pt>
                <c:pt idx="4">
                  <c:v>25-50%</c:v>
                </c:pt>
                <c:pt idx="5">
                  <c:v>25-75%</c:v>
                </c:pt>
                <c:pt idx="6">
                  <c:v>25-100%</c:v>
                </c:pt>
                <c:pt idx="7">
                  <c:v>50-75%</c:v>
                </c:pt>
                <c:pt idx="8">
                  <c:v>50-100%</c:v>
                </c:pt>
                <c:pt idx="9">
                  <c:v>75-100%</c:v>
                </c:pt>
              </c:strCache>
            </c:strRef>
          </c:cat>
          <c:val>
            <c:numRef>
              <c:f>Wilcoxon!$G$18:$G$27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8-4432-9883-FE68EB92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732911"/>
        <c:axId val="1877735311"/>
      </c:barChart>
      <c:catAx>
        <c:axId val="18777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35311"/>
        <c:crosses val="autoZero"/>
        <c:auto val="1"/>
        <c:lblAlgn val="ctr"/>
        <c:lblOffset val="100"/>
        <c:noMultiLvlLbl val="0"/>
      </c:catAx>
      <c:valAx>
        <c:axId val="187773531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32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L2 Bootstrap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7338145231846"/>
          <c:y val="0.20412037037037037"/>
          <c:w val="0.85082174103237096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Bootstrap!$B$17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Bootstrap!$A$18:$A$21</c:f>
              <c:strCache>
                <c:ptCount val="4"/>
                <c:pt idx="0">
                  <c:v>0-0.25</c:v>
                </c:pt>
                <c:pt idx="1">
                  <c:v>0-0.5</c:v>
                </c:pt>
                <c:pt idx="2">
                  <c:v>0-0.75</c:v>
                </c:pt>
                <c:pt idx="3">
                  <c:v>0-1</c:v>
                </c:pt>
              </c:strCache>
            </c:strRef>
          </c:cat>
          <c:val>
            <c:numRef>
              <c:f>Bootstrap!$B$18:$B$21</c:f>
              <c:numCache>
                <c:formatCode>0.000</c:formatCode>
                <c:ptCount val="4"/>
                <c:pt idx="0">
                  <c:v>6.77400633920748E-6</c:v>
                </c:pt>
                <c:pt idx="1">
                  <c:v>-1.4241060176250001E-4</c:v>
                </c:pt>
                <c:pt idx="2">
                  <c:v>1.4682831660879999E-4</c:v>
                </c:pt>
                <c:pt idx="3">
                  <c:v>1.4148421278093999E-3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6-464C-A173-FE293CB95D86}"/>
            </c:ext>
          </c:extLst>
        </c:ser>
        <c:ser>
          <c:idx val="1"/>
          <c:order val="1"/>
          <c:tx>
            <c:strRef>
              <c:f>Bootstrap!$C$17</c:f>
              <c:strCache>
                <c:ptCount val="1"/>
                <c:pt idx="0">
                  <c:v>Retuned 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Bootstrap!$A$18:$A$21</c:f>
              <c:strCache>
                <c:ptCount val="4"/>
                <c:pt idx="0">
                  <c:v>0-0.25</c:v>
                </c:pt>
                <c:pt idx="1">
                  <c:v>0-0.5</c:v>
                </c:pt>
                <c:pt idx="2">
                  <c:v>0-0.75</c:v>
                </c:pt>
                <c:pt idx="3">
                  <c:v>0-1</c:v>
                </c:pt>
              </c:strCache>
            </c:strRef>
          </c:cat>
          <c:val>
            <c:numRef>
              <c:f>Bootstrap!$C$18:$C$21</c:f>
              <c:numCache>
                <c:formatCode>0.000</c:formatCode>
                <c:ptCount val="4"/>
                <c:pt idx="0">
                  <c:v>3.2692937406934402E-5</c:v>
                </c:pt>
                <c:pt idx="1">
                  <c:v>-6.2331637632319999E-4</c:v>
                </c:pt>
                <c:pt idx="2">
                  <c:v>-1.8159504870740001E-4</c:v>
                </c:pt>
                <c:pt idx="3">
                  <c:v>6.4135000449380003E-4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6-464C-A173-FE293CB95D86}"/>
            </c:ext>
          </c:extLst>
        </c:ser>
        <c:ser>
          <c:idx val="2"/>
          <c:order val="2"/>
          <c:tx>
            <c:strRef>
              <c:f>Bootstrap!$D$17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Bootstrap!$A$18:$A$21</c:f>
              <c:strCache>
                <c:ptCount val="4"/>
                <c:pt idx="0">
                  <c:v>0-0.25</c:v>
                </c:pt>
                <c:pt idx="1">
                  <c:v>0-0.5</c:v>
                </c:pt>
                <c:pt idx="2">
                  <c:v>0-0.75</c:v>
                </c:pt>
                <c:pt idx="3">
                  <c:v>0-1</c:v>
                </c:pt>
              </c:strCache>
            </c:strRef>
          </c:cat>
          <c:val>
            <c:numRef>
              <c:f>Bootstrap!$D$18:$D$21</c:f>
              <c:numCache>
                <c:formatCode>0.000</c:formatCode>
                <c:ptCount val="4"/>
                <c:pt idx="0">
                  <c:v>7.3297654146679001E-3</c:v>
                </c:pt>
                <c:pt idx="1">
                  <c:v>9.4721359545689998E-3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86-464C-A173-FE293CB95D86}"/>
            </c:ext>
          </c:extLst>
        </c:ser>
        <c:ser>
          <c:idx val="3"/>
          <c:order val="3"/>
          <c:tx>
            <c:strRef>
              <c:f>Bootstrap!$E$17</c:f>
              <c:strCache>
                <c:ptCount val="1"/>
                <c:pt idx="0">
                  <c:v>GBR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Bootstrap!$A$18:$A$21</c:f>
              <c:strCache>
                <c:ptCount val="4"/>
                <c:pt idx="0">
                  <c:v>0-0.25</c:v>
                </c:pt>
                <c:pt idx="1">
                  <c:v>0-0.5</c:v>
                </c:pt>
                <c:pt idx="2">
                  <c:v>0-0.75</c:v>
                </c:pt>
                <c:pt idx="3">
                  <c:v>0-1</c:v>
                </c:pt>
              </c:strCache>
            </c:strRef>
          </c:cat>
          <c:val>
            <c:numRef>
              <c:f>Bootstrap!$E$18:$E$21</c:f>
              <c:numCache>
                <c:formatCode>0.000</c:formatCode>
                <c:ptCount val="4"/>
                <c:pt idx="0">
                  <c:v>-1.8689723169209999E-4</c:v>
                </c:pt>
                <c:pt idx="1">
                  <c:v>-1.18077416492936E-2</c:v>
                </c:pt>
                <c:pt idx="2">
                  <c:v>-7.0695679419050005E-4</c:v>
                </c:pt>
                <c:pt idx="3">
                  <c:v>3.0025867754688998E-3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86-464C-A173-FE293CB95D86}"/>
            </c:ext>
          </c:extLst>
        </c:ser>
        <c:ser>
          <c:idx val="4"/>
          <c:order val="4"/>
          <c:tx>
            <c:strRef>
              <c:f>Bootstrap!$F$17</c:f>
              <c:strCache>
                <c:ptCount val="1"/>
                <c:pt idx="0">
                  <c:v>RF Retest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Bootstrap!$A$18:$A$21</c:f>
              <c:strCache>
                <c:ptCount val="4"/>
                <c:pt idx="0">
                  <c:v>0-0.25</c:v>
                </c:pt>
                <c:pt idx="1">
                  <c:v>0-0.5</c:v>
                </c:pt>
                <c:pt idx="2">
                  <c:v>0-0.75</c:v>
                </c:pt>
                <c:pt idx="3">
                  <c:v>0-1</c:v>
                </c:pt>
              </c:strCache>
            </c:strRef>
          </c:cat>
          <c:val>
            <c:numRef>
              <c:f>Bootstrap!$F$18:$F$21</c:f>
              <c:numCache>
                <c:formatCode>0.000</c:formatCode>
                <c:ptCount val="4"/>
                <c:pt idx="0">
                  <c:v>-2.0441031483270001E-4</c:v>
                </c:pt>
                <c:pt idx="1">
                  <c:v>-1.336634912219E-4</c:v>
                </c:pt>
                <c:pt idx="2">
                  <c:v>6.853073750861E-4</c:v>
                </c:pt>
                <c:pt idx="3">
                  <c:v>1.2082818753617001E-3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86-464C-A173-FE293CB95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98799"/>
        <c:axId val="140001199"/>
      </c:lineChart>
      <c:catAx>
        <c:axId val="13999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1199"/>
        <c:crosses val="autoZero"/>
        <c:auto val="1"/>
        <c:lblAlgn val="ctr"/>
        <c:lblOffset val="100"/>
        <c:noMultiLvlLbl val="0"/>
      </c:catAx>
      <c:valAx>
        <c:axId val="14000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509587</xdr:colOff>
      <xdr:row>12</xdr:row>
      <xdr:rowOff>128587</xdr:rowOff>
    </xdr:from>
    <xdr:to>
      <xdr:col>12</xdr:col>
      <xdr:colOff>604837</xdr:colOff>
      <xdr:row>27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449A78-76A2-3017-E8CD-4B8E8088E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72837</xdr:colOff>
      <xdr:row>14</xdr:row>
      <xdr:rowOff>1120</xdr:rowOff>
    </xdr:from>
    <xdr:to>
      <xdr:col>18</xdr:col>
      <xdr:colOff>593911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F1266E-AAC4-2B46-A614-89AC8F175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B27E-4507-48E2-A358-7E1F6144099D}">
  <dimension ref="A1:G27"/>
  <sheetViews>
    <sheetView workbookViewId="0">
      <selection activeCell="E19" sqref="E19"/>
    </sheetView>
  </sheetViews>
  <sheetFormatPr defaultRowHeight="15" x14ac:dyDescent="0.25"/>
  <cols>
    <col min="1" max="2" width="15.42578125" customWidth="1"/>
    <col min="3" max="15" width="13.42578125" customWidth="1"/>
  </cols>
  <sheetData>
    <row r="1" spans="1:7" x14ac:dyDescent="0.25">
      <c r="A1" s="8" t="s">
        <v>7</v>
      </c>
      <c r="B1" s="8"/>
      <c r="C1" t="s">
        <v>5</v>
      </c>
      <c r="D1" t="s">
        <v>5</v>
      </c>
      <c r="E1" t="s">
        <v>5</v>
      </c>
      <c r="F1" t="s">
        <v>5</v>
      </c>
      <c r="G1" t="s">
        <v>5</v>
      </c>
    </row>
    <row r="2" spans="1:7" x14ac:dyDescent="0.25">
      <c r="A2" t="s">
        <v>0</v>
      </c>
      <c r="B2" t="s">
        <v>1</v>
      </c>
      <c r="C2" t="s">
        <v>6</v>
      </c>
      <c r="D2" t="s">
        <v>2</v>
      </c>
      <c r="E2" t="s">
        <v>53</v>
      </c>
      <c r="F2" t="s">
        <v>3</v>
      </c>
      <c r="G2" t="s">
        <v>4</v>
      </c>
    </row>
    <row r="3" spans="1:7" x14ac:dyDescent="0.25">
      <c r="A3" s="1">
        <v>0</v>
      </c>
      <c r="B3" s="1">
        <v>0.25</v>
      </c>
      <c r="C3" s="2">
        <v>0.65682208263216402</v>
      </c>
      <c r="D3" s="2">
        <v>0.21592299889932701</v>
      </c>
      <c r="E3" s="2">
        <v>1.7560038427340001E-4</v>
      </c>
      <c r="F3" s="2">
        <v>0.61599459630189701</v>
      </c>
      <c r="G3" s="2">
        <v>0.58783197188234104</v>
      </c>
    </row>
    <row r="4" spans="1:7" x14ac:dyDescent="0.25">
      <c r="A4" s="1">
        <v>0</v>
      </c>
      <c r="B4" s="1">
        <v>0.5</v>
      </c>
      <c r="C4" s="2">
        <v>0.59353336077726104</v>
      </c>
      <c r="D4" s="2">
        <v>3.3383463346137E-6</v>
      </c>
      <c r="E4" s="2">
        <v>0.56398796542089102</v>
      </c>
      <c r="F4" s="2">
        <v>2.5283721579516699E-8</v>
      </c>
      <c r="G4" s="2">
        <v>0.29765190877030301</v>
      </c>
    </row>
    <row r="5" spans="1:7" x14ac:dyDescent="0.25">
      <c r="A5" s="1">
        <v>0</v>
      </c>
      <c r="B5" s="1">
        <v>0.75</v>
      </c>
      <c r="C5" s="2">
        <v>3.4791525721958E-3</v>
      </c>
      <c r="D5" s="2">
        <v>6.2734340838049999E-3</v>
      </c>
      <c r="E5" s="2">
        <v>0.61124979097938104</v>
      </c>
      <c r="F5" s="2">
        <v>0.84725013269428395</v>
      </c>
      <c r="G5" s="2">
        <v>1.1607407043154E-3</v>
      </c>
    </row>
    <row r="6" spans="1:7" x14ac:dyDescent="0.25">
      <c r="A6" s="1">
        <v>0</v>
      </c>
      <c r="B6" s="1">
        <v>1</v>
      </c>
      <c r="C6" s="2">
        <v>2.6957414847796602E-10</v>
      </c>
      <c r="D6" s="2">
        <v>2.6911719784458299E-10</v>
      </c>
      <c r="E6" s="2">
        <v>8.0181537107140005E-4</v>
      </c>
      <c r="F6" s="2">
        <v>1.41506406177492E-8</v>
      </c>
      <c r="G6" s="2">
        <v>1.30022203612222E-11</v>
      </c>
    </row>
    <row r="7" spans="1:7" x14ac:dyDescent="0.25">
      <c r="A7" s="1">
        <v>0.25</v>
      </c>
      <c r="B7" s="1">
        <v>0.5</v>
      </c>
      <c r="C7" s="2">
        <v>0.85161714206723105</v>
      </c>
      <c r="D7" s="2">
        <v>3.3383463346137E-6</v>
      </c>
      <c r="E7" s="2">
        <v>2.4968263119191898E-12</v>
      </c>
      <c r="F7" s="2">
        <v>3.9211972501652898E-12</v>
      </c>
      <c r="G7" s="2">
        <v>2.7153528399140502E-2</v>
      </c>
    </row>
    <row r="8" spans="1:7" x14ac:dyDescent="0.25">
      <c r="A8" s="1">
        <v>0.25</v>
      </c>
      <c r="B8" s="1">
        <v>0.75</v>
      </c>
      <c r="C8" s="2">
        <v>8.5817161212756803E-5</v>
      </c>
      <c r="D8" s="2">
        <v>4.7599361820727E-3</v>
      </c>
      <c r="E8" s="2">
        <v>1.626378134998E-4</v>
      </c>
      <c r="F8" s="2">
        <v>0.927389726993468</v>
      </c>
      <c r="G8" s="2">
        <v>3.2664984745000002E-4</v>
      </c>
    </row>
    <row r="9" spans="1:7" x14ac:dyDescent="0.25">
      <c r="A9" s="1">
        <v>0.5</v>
      </c>
      <c r="B9" s="1">
        <v>0.75</v>
      </c>
      <c r="C9" s="2">
        <v>3.4747262612246299E-11</v>
      </c>
      <c r="D9" s="2">
        <v>8.9039187930665802E-12</v>
      </c>
      <c r="E9" s="2">
        <v>9.8050268820031103E-12</v>
      </c>
      <c r="F9" s="2">
        <v>5.6853299591988798E-8</v>
      </c>
      <c r="G9" s="2">
        <v>5.0775067732657403E-12</v>
      </c>
    </row>
    <row r="10" spans="1:7" x14ac:dyDescent="0.25">
      <c r="A10" s="1">
        <v>1</v>
      </c>
      <c r="B10" s="1">
        <v>0.25</v>
      </c>
      <c r="C10" s="2">
        <v>5.2627361945470005E-4</v>
      </c>
      <c r="D10" s="2">
        <v>8.3895422761644002E-3</v>
      </c>
      <c r="E10" s="2">
        <v>4.6084241405176397E-2</v>
      </c>
      <c r="F10" s="2">
        <v>2.27016739384279E-11</v>
      </c>
      <c r="G10" s="2">
        <v>0.160505859370632</v>
      </c>
    </row>
    <row r="11" spans="1:7" x14ac:dyDescent="0.25">
      <c r="A11" s="1">
        <v>1</v>
      </c>
      <c r="B11" s="1">
        <v>0.5</v>
      </c>
      <c r="C11" s="2">
        <v>1.6634122328460199E-11</v>
      </c>
      <c r="D11" s="2">
        <v>3.1415253057106798E-11</v>
      </c>
      <c r="E11" s="2">
        <v>9.2604910308156296E-8</v>
      </c>
      <c r="F11" s="2">
        <v>3.1368380343964398E-13</v>
      </c>
      <c r="G11" s="2">
        <v>7.6438297791417603E-11</v>
      </c>
    </row>
    <row r="12" spans="1:7" x14ac:dyDescent="0.25">
      <c r="A12" s="1">
        <v>1</v>
      </c>
      <c r="B12" s="1">
        <v>0.75</v>
      </c>
      <c r="C12" s="2">
        <v>1.6164567116721901E-7</v>
      </c>
      <c r="D12" s="2">
        <v>4.9836337393118799E-11</v>
      </c>
      <c r="E12" s="2">
        <v>1.5441489399933001E-5</v>
      </c>
      <c r="F12" s="2">
        <v>5.4521146082188095E-13</v>
      </c>
      <c r="G12" s="2">
        <v>9.4228137678602202E-8</v>
      </c>
    </row>
    <row r="14" spans="1:7" x14ac:dyDescent="0.25">
      <c r="A14" s="8"/>
      <c r="B14" s="8"/>
    </row>
    <row r="16" spans="1:7" x14ac:dyDescent="0.25">
      <c r="A16" s="8"/>
      <c r="B16" s="8"/>
    </row>
    <row r="17" spans="1:7" x14ac:dyDescent="0.25">
      <c r="A17" t="s">
        <v>190</v>
      </c>
      <c r="B17" t="s">
        <v>6</v>
      </c>
      <c r="C17" t="s">
        <v>2</v>
      </c>
      <c r="D17" t="s">
        <v>53</v>
      </c>
      <c r="E17" t="s">
        <v>3</v>
      </c>
      <c r="F17" t="s">
        <v>4</v>
      </c>
    </row>
    <row r="18" spans="1:7" x14ac:dyDescent="0.25">
      <c r="A18" s="1" t="s">
        <v>180</v>
      </c>
      <c r="B18" s="2">
        <v>0.65682208263216402</v>
      </c>
      <c r="C18" s="2">
        <v>0.21592299889932701</v>
      </c>
      <c r="D18" s="2">
        <v>1.7560038427340001E-4</v>
      </c>
      <c r="E18" s="2">
        <v>0.61599459630189701</v>
      </c>
      <c r="F18" s="2">
        <v>0.58783197188234104</v>
      </c>
      <c r="G18">
        <f t="shared" ref="G18:G26" si="0">COUNTIF(B18:F18,"&lt;0.01")</f>
        <v>1</v>
      </c>
    </row>
    <row r="19" spans="1:7" x14ac:dyDescent="0.25">
      <c r="A19" s="1" t="s">
        <v>181</v>
      </c>
      <c r="B19" s="2">
        <v>0.59353336077726104</v>
      </c>
      <c r="C19" s="2">
        <v>3.3383463346137E-6</v>
      </c>
      <c r="D19" s="2">
        <v>0.56398796542089102</v>
      </c>
      <c r="E19" s="2">
        <v>2.5283721579516699E-8</v>
      </c>
      <c r="F19" s="2">
        <v>0.29765190877030301</v>
      </c>
      <c r="G19">
        <f t="shared" si="0"/>
        <v>2</v>
      </c>
    </row>
    <row r="20" spans="1:7" x14ac:dyDescent="0.25">
      <c r="A20" s="1" t="s">
        <v>182</v>
      </c>
      <c r="B20" s="2">
        <v>3.4791525721958E-3</v>
      </c>
      <c r="C20" s="2">
        <v>6.2734340838049999E-3</v>
      </c>
      <c r="D20" s="2">
        <v>0.61124979097938104</v>
      </c>
      <c r="E20" s="2">
        <v>0.84725013269428395</v>
      </c>
      <c r="F20" s="2">
        <v>1.1607407043154E-3</v>
      </c>
      <c r="G20">
        <f t="shared" si="0"/>
        <v>3</v>
      </c>
    </row>
    <row r="21" spans="1:7" x14ac:dyDescent="0.25">
      <c r="A21" s="1" t="s">
        <v>183</v>
      </c>
      <c r="B21" s="15">
        <v>2.6957414847796602E-10</v>
      </c>
      <c r="C21" s="15">
        <v>2.6911719784458299E-10</v>
      </c>
      <c r="D21" s="15">
        <v>8.0181537107140005E-4</v>
      </c>
      <c r="E21" s="15">
        <v>1.41506406177492E-8</v>
      </c>
      <c r="F21" s="15">
        <v>1.30022203612222E-11</v>
      </c>
      <c r="G21">
        <f t="shared" si="0"/>
        <v>5</v>
      </c>
    </row>
    <row r="22" spans="1:7" x14ac:dyDescent="0.25">
      <c r="A22" s="1" t="s">
        <v>184</v>
      </c>
      <c r="B22" s="2">
        <v>0.85161714206723105</v>
      </c>
      <c r="C22" s="2">
        <v>3.3383463346137E-6</v>
      </c>
      <c r="D22" s="2">
        <v>2.4968263119191898E-12</v>
      </c>
      <c r="E22" s="2">
        <v>3.9211972501652898E-12</v>
      </c>
      <c r="F22" s="2">
        <v>2.7153528399140502E-2</v>
      </c>
      <c r="G22">
        <f t="shared" si="0"/>
        <v>3</v>
      </c>
    </row>
    <row r="23" spans="1:7" x14ac:dyDescent="0.25">
      <c r="A23" s="1" t="s">
        <v>185</v>
      </c>
      <c r="B23" s="2">
        <v>8.5817161212756803E-5</v>
      </c>
      <c r="C23" s="2">
        <v>4.7599361820727E-3</v>
      </c>
      <c r="D23" s="2">
        <v>1.626378134998E-4</v>
      </c>
      <c r="E23" s="2">
        <v>0.927389726993468</v>
      </c>
      <c r="F23" s="2">
        <v>3.2664984745000002E-4</v>
      </c>
      <c r="G23">
        <f t="shared" si="0"/>
        <v>4</v>
      </c>
    </row>
    <row r="24" spans="1:7" x14ac:dyDescent="0.25">
      <c r="A24" s="1" t="s">
        <v>186</v>
      </c>
      <c r="B24" s="2">
        <v>5.2627361945470005E-4</v>
      </c>
      <c r="C24" s="2">
        <v>8.3895422761644002E-3</v>
      </c>
      <c r="D24" s="2">
        <v>4.6084241405176397E-2</v>
      </c>
      <c r="E24" s="2">
        <v>2.27016739384279E-11</v>
      </c>
      <c r="F24" s="2">
        <v>0.160505859370632</v>
      </c>
      <c r="G24">
        <f t="shared" si="0"/>
        <v>3</v>
      </c>
    </row>
    <row r="25" spans="1:7" x14ac:dyDescent="0.25">
      <c r="A25" s="1" t="s">
        <v>187</v>
      </c>
      <c r="B25" s="15">
        <v>3.4747262612246299E-11</v>
      </c>
      <c r="C25" s="15">
        <v>8.9039187930665802E-12</v>
      </c>
      <c r="D25" s="15">
        <v>9.8050268820031103E-12</v>
      </c>
      <c r="E25" s="15">
        <v>5.6853299591988798E-8</v>
      </c>
      <c r="F25" s="15">
        <v>5.0775067732657403E-12</v>
      </c>
      <c r="G25">
        <f t="shared" si="0"/>
        <v>5</v>
      </c>
    </row>
    <row r="26" spans="1:7" x14ac:dyDescent="0.25">
      <c r="A26" s="1" t="s">
        <v>188</v>
      </c>
      <c r="B26" s="15">
        <v>1.6634122328460199E-11</v>
      </c>
      <c r="C26" s="15">
        <v>3.1415253057106798E-11</v>
      </c>
      <c r="D26" s="15">
        <v>9.2604910308156296E-8</v>
      </c>
      <c r="E26" s="15">
        <v>3.1368380343964398E-13</v>
      </c>
      <c r="F26" s="15">
        <v>7.6438297791417603E-11</v>
      </c>
      <c r="G26">
        <f t="shared" si="0"/>
        <v>5</v>
      </c>
    </row>
    <row r="27" spans="1:7" x14ac:dyDescent="0.25">
      <c r="A27" s="1" t="s">
        <v>189</v>
      </c>
      <c r="B27" s="15">
        <v>1.6164567116721901E-7</v>
      </c>
      <c r="C27" s="15">
        <v>4.9836337393118799E-11</v>
      </c>
      <c r="D27" s="15">
        <v>1.5441489399933001E-5</v>
      </c>
      <c r="E27" s="15">
        <v>5.4521146082188095E-13</v>
      </c>
      <c r="F27" s="15">
        <v>9.4228137678602202E-8</v>
      </c>
      <c r="G27">
        <f>COUNTIF(B27:F27,"&lt;0.01")</f>
        <v>5</v>
      </c>
    </row>
  </sheetData>
  <mergeCells count="3">
    <mergeCell ref="A1:B1"/>
    <mergeCell ref="A14:B14"/>
    <mergeCell ref="A16:B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B974-D09C-427E-97BE-9F658D91265D}">
  <dimension ref="A1:G37"/>
  <sheetViews>
    <sheetView topLeftCell="A13" workbookViewId="0">
      <selection activeCell="H36" sqref="H36"/>
    </sheetView>
  </sheetViews>
  <sheetFormatPr defaultRowHeight="15" x14ac:dyDescent="0.25"/>
  <cols>
    <col min="1" max="2" width="15.42578125" customWidth="1"/>
    <col min="3" max="7" width="13.42578125" customWidth="1"/>
  </cols>
  <sheetData>
    <row r="1" spans="1:7" x14ac:dyDescent="0.25">
      <c r="A1" s="8" t="s">
        <v>14</v>
      </c>
      <c r="B1" s="8"/>
      <c r="C1" t="s">
        <v>5</v>
      </c>
      <c r="D1" t="s">
        <v>5</v>
      </c>
      <c r="E1" t="s">
        <v>5</v>
      </c>
      <c r="F1" t="s">
        <v>5</v>
      </c>
      <c r="G1" t="s">
        <v>5</v>
      </c>
    </row>
    <row r="2" spans="1:7" x14ac:dyDescent="0.25">
      <c r="A2" t="s">
        <v>0</v>
      </c>
      <c r="B2" t="s">
        <v>1</v>
      </c>
      <c r="C2" t="s">
        <v>6</v>
      </c>
      <c r="D2" t="s">
        <v>2</v>
      </c>
      <c r="E2" t="s">
        <v>53</v>
      </c>
      <c r="F2" t="s">
        <v>3</v>
      </c>
      <c r="G2" t="s">
        <v>4</v>
      </c>
    </row>
    <row r="3" spans="1:7" x14ac:dyDescent="0.25">
      <c r="A3" s="1">
        <v>0</v>
      </c>
      <c r="B3" s="1">
        <v>0.25</v>
      </c>
      <c r="C3" s="2">
        <v>0.20983670924613301</v>
      </c>
      <c r="D3" s="2">
        <v>0.75580370146161502</v>
      </c>
      <c r="E3" s="2">
        <v>5.8364961625025403E-5</v>
      </c>
      <c r="F3" s="2">
        <v>0.87386766797077597</v>
      </c>
      <c r="G3" s="2">
        <v>0.730003182529956</v>
      </c>
    </row>
    <row r="4" spans="1:7" x14ac:dyDescent="0.25">
      <c r="A4" s="1">
        <v>0</v>
      </c>
      <c r="B4" s="1">
        <v>0.5</v>
      </c>
      <c r="C4" s="2">
        <v>0.358811434395788</v>
      </c>
      <c r="D4" s="2">
        <v>1.04420582625053E-6</v>
      </c>
      <c r="E4" s="2">
        <v>6.0637307133388002E-3</v>
      </c>
      <c r="F4" s="2">
        <v>3.79195785882302E-10</v>
      </c>
      <c r="G4" s="2">
        <v>0.35814690912638503</v>
      </c>
    </row>
    <row r="5" spans="1:7" x14ac:dyDescent="0.25">
      <c r="A5" s="1">
        <v>0</v>
      </c>
      <c r="B5" s="1">
        <v>0.75</v>
      </c>
      <c r="C5" s="2">
        <v>4.8390352868068996E-3</v>
      </c>
      <c r="D5" s="2">
        <v>0.18687572756905901</v>
      </c>
      <c r="E5" s="2">
        <v>0.87765086274633997</v>
      </c>
      <c r="F5" s="2">
        <v>0.38656186038516899</v>
      </c>
      <c r="G5" s="2">
        <v>4.0589759515708999E-2</v>
      </c>
    </row>
    <row r="6" spans="1:7" x14ac:dyDescent="0.25">
      <c r="A6" s="1">
        <v>0</v>
      </c>
      <c r="B6" s="1">
        <v>1</v>
      </c>
      <c r="C6" s="2">
        <v>7.4747924302082496E-9</v>
      </c>
      <c r="D6" s="2">
        <v>1.69517969666871E-9</v>
      </c>
      <c r="E6" s="2">
        <v>0.87765086274633997</v>
      </c>
      <c r="F6" s="2">
        <v>5.5159163366230603E-9</v>
      </c>
      <c r="G6" s="2">
        <v>4.1192234808325598E-10</v>
      </c>
    </row>
    <row r="7" spans="1:7" x14ac:dyDescent="0.25">
      <c r="A7" s="1">
        <v>0.25</v>
      </c>
      <c r="B7" s="1">
        <v>0.5</v>
      </c>
      <c r="C7" s="2">
        <v>0.74193057619853298</v>
      </c>
      <c r="D7" s="2">
        <v>5.7997761130727296E-6</v>
      </c>
      <c r="E7" s="2">
        <v>3.8074432495704901E-10</v>
      </c>
      <c r="F7" s="2">
        <v>1.6425749649329101E-11</v>
      </c>
      <c r="G7" s="2">
        <v>4.0589759515708999E-2</v>
      </c>
    </row>
    <row r="8" spans="1:7" x14ac:dyDescent="0.25">
      <c r="A8" s="1">
        <v>0.25</v>
      </c>
      <c r="B8" s="1">
        <v>0.75</v>
      </c>
      <c r="C8" s="2">
        <v>9.9787329809270594E-6</v>
      </c>
      <c r="D8" s="2">
        <v>0.19871366228823201</v>
      </c>
      <c r="E8" s="2">
        <v>6.0637307133388002E-3</v>
      </c>
      <c r="F8" s="2">
        <v>0.39340611194501701</v>
      </c>
      <c r="G8" s="2">
        <v>1.2749840349024299E-2</v>
      </c>
    </row>
    <row r="9" spans="1:7" x14ac:dyDescent="0.25">
      <c r="A9" s="1">
        <v>0.5</v>
      </c>
      <c r="B9" s="1">
        <v>0.75</v>
      </c>
      <c r="C9" s="2">
        <v>1.0664291671957899E-9</v>
      </c>
      <c r="D9" s="2">
        <v>1.30579991264312E-10</v>
      </c>
      <c r="E9" s="2">
        <v>3.74948204542579E-14</v>
      </c>
      <c r="F9" s="2">
        <v>6.6498179978375602E-8</v>
      </c>
      <c r="G9" s="2">
        <v>2.4429347433851899E-11</v>
      </c>
    </row>
    <row r="10" spans="1:7" x14ac:dyDescent="0.25">
      <c r="A10" s="1">
        <v>1</v>
      </c>
      <c r="B10" s="1">
        <v>0.25</v>
      </c>
      <c r="C10" s="2">
        <v>6.0819667547856498E-5</v>
      </c>
      <c r="D10" s="2">
        <v>6.2644888799639998E-4</v>
      </c>
      <c r="E10" s="2">
        <v>0.130904541576749</v>
      </c>
      <c r="F10" s="2">
        <v>2.8713978201597801E-12</v>
      </c>
      <c r="G10" s="2">
        <v>9.2813439376892404E-2</v>
      </c>
    </row>
    <row r="11" spans="1:7" x14ac:dyDescent="0.25">
      <c r="A11" s="1">
        <v>1</v>
      </c>
      <c r="B11" s="1">
        <v>0.5</v>
      </c>
      <c r="C11" s="2">
        <v>1.0664291671957899E-9</v>
      </c>
      <c r="D11" s="2">
        <v>4.0638603593379199E-10</v>
      </c>
      <c r="E11" s="2">
        <v>1.4895202947185501E-10</v>
      </c>
      <c r="F11" s="2">
        <v>1.1102230246251501E-14</v>
      </c>
      <c r="G11" s="2">
        <v>4.1192234808325598E-10</v>
      </c>
    </row>
    <row r="12" spans="1:7" x14ac:dyDescent="0.25">
      <c r="A12" s="1">
        <v>1</v>
      </c>
      <c r="B12" s="1">
        <v>0.75</v>
      </c>
      <c r="C12" s="2">
        <v>7.2917400772976004E-6</v>
      </c>
      <c r="D12" s="2">
        <v>8.68600006735202E-10</v>
      </c>
      <c r="E12" s="2">
        <v>3.14187496942505E-2</v>
      </c>
      <c r="F12" s="2">
        <v>1.8351986597053801E-12</v>
      </c>
      <c r="G12" s="2">
        <v>5.9415292685827099E-8</v>
      </c>
    </row>
    <row r="14" spans="1:7" x14ac:dyDescent="0.25">
      <c r="A14" t="s">
        <v>251</v>
      </c>
    </row>
    <row r="15" spans="1:7" x14ac:dyDescent="0.25">
      <c r="A15" s="14" t="s">
        <v>190</v>
      </c>
      <c r="B15" t="s">
        <v>6</v>
      </c>
      <c r="C15" t="s">
        <v>2</v>
      </c>
      <c r="D15" t="s">
        <v>53</v>
      </c>
      <c r="E15" t="s">
        <v>3</v>
      </c>
      <c r="F15" t="s">
        <v>4</v>
      </c>
    </row>
    <row r="16" spans="1:7" x14ac:dyDescent="0.25">
      <c r="A16" s="1" t="s">
        <v>180</v>
      </c>
      <c r="B16" s="2">
        <v>0.20983670924613301</v>
      </c>
      <c r="C16" s="2">
        <v>0.75580370146161502</v>
      </c>
      <c r="D16" s="2">
        <v>5.8364961625025403E-5</v>
      </c>
      <c r="E16" s="2">
        <v>0.87386766797077597</v>
      </c>
      <c r="F16" s="2">
        <v>0.730003182529956</v>
      </c>
    </row>
    <row r="17" spans="1:7" x14ac:dyDescent="0.25">
      <c r="A17" s="1" t="s">
        <v>181</v>
      </c>
      <c r="B17" s="2">
        <v>0.358811434395788</v>
      </c>
      <c r="C17" s="2">
        <v>1.04420582625053E-6</v>
      </c>
      <c r="D17" s="15">
        <v>6.0637307133388002E-3</v>
      </c>
      <c r="E17" s="2">
        <v>3.79195785882302E-10</v>
      </c>
      <c r="F17" s="2">
        <v>0.35814690912638503</v>
      </c>
      <c r="G17" s="2"/>
    </row>
    <row r="18" spans="1:7" x14ac:dyDescent="0.25">
      <c r="A18" s="1" t="s">
        <v>182</v>
      </c>
      <c r="B18" s="2">
        <v>4.8390352868068996E-3</v>
      </c>
      <c r="C18" s="15">
        <v>0.18687572756905901</v>
      </c>
      <c r="D18" s="2">
        <v>0.87765086274633997</v>
      </c>
      <c r="E18" s="2">
        <v>0.38656186038516899</v>
      </c>
      <c r="F18" s="2">
        <v>4.0589759515708999E-2</v>
      </c>
      <c r="G18" s="2"/>
    </row>
    <row r="19" spans="1:7" x14ac:dyDescent="0.25">
      <c r="A19" s="1" t="s">
        <v>183</v>
      </c>
      <c r="B19" s="2">
        <v>7.4747924302082496E-9</v>
      </c>
      <c r="C19" s="2">
        <v>1.69517969666871E-9</v>
      </c>
      <c r="D19" s="15">
        <v>0.87765086274633997</v>
      </c>
      <c r="E19" s="2">
        <v>5.5159163366230603E-9</v>
      </c>
      <c r="F19" s="2">
        <v>4.1192234808325598E-10</v>
      </c>
      <c r="G19" s="2"/>
    </row>
    <row r="20" spans="1:7" x14ac:dyDescent="0.25">
      <c r="A20" s="1" t="s">
        <v>184</v>
      </c>
      <c r="B20" s="2">
        <v>0.74193057619853298</v>
      </c>
      <c r="C20" s="2">
        <v>5.7997761130727296E-6</v>
      </c>
      <c r="D20" s="2">
        <v>3.8074432495704901E-10</v>
      </c>
      <c r="E20" s="2">
        <v>1.6425749649329101E-11</v>
      </c>
      <c r="F20" s="2">
        <v>4.0589759515708999E-2</v>
      </c>
      <c r="G20" s="2"/>
    </row>
    <row r="21" spans="1:7" x14ac:dyDescent="0.25">
      <c r="A21" s="1" t="s">
        <v>185</v>
      </c>
      <c r="B21" s="2">
        <v>9.9787329809270594E-6</v>
      </c>
      <c r="C21" s="15">
        <v>0.19871366228823201</v>
      </c>
      <c r="D21" s="2">
        <v>6.0637307133388002E-3</v>
      </c>
      <c r="E21" s="2">
        <v>0.39340611194501701</v>
      </c>
      <c r="F21" s="2">
        <v>1.2749840349024299E-2</v>
      </c>
    </row>
    <row r="22" spans="1:7" x14ac:dyDescent="0.25">
      <c r="A22" s="1" t="s">
        <v>186</v>
      </c>
      <c r="B22" s="2">
        <v>1.0664291671957899E-9</v>
      </c>
      <c r="C22" s="2">
        <v>1.30579991264312E-10</v>
      </c>
      <c r="D22" s="2">
        <v>3.74948204542579E-14</v>
      </c>
      <c r="E22" s="2">
        <v>6.6498179978375602E-8</v>
      </c>
      <c r="F22" s="15">
        <v>2.4429347433851899E-11</v>
      </c>
    </row>
    <row r="23" spans="1:7" x14ac:dyDescent="0.25">
      <c r="A23" s="1" t="s">
        <v>187</v>
      </c>
      <c r="B23" s="2">
        <v>6.0819667547856498E-5</v>
      </c>
      <c r="C23" s="2">
        <v>6.2644888799639998E-4</v>
      </c>
      <c r="D23" s="15">
        <v>0.130904541576749</v>
      </c>
      <c r="E23" s="2">
        <v>2.8713978201597801E-12</v>
      </c>
      <c r="F23" s="15">
        <v>9.2813439376892404E-2</v>
      </c>
    </row>
    <row r="24" spans="1:7" x14ac:dyDescent="0.25">
      <c r="A24" s="1" t="s">
        <v>188</v>
      </c>
      <c r="B24" s="2">
        <v>1.0664291671957899E-9</v>
      </c>
      <c r="C24" s="2">
        <v>4.0638603593379199E-10</v>
      </c>
      <c r="D24" s="2">
        <v>1.4895202947185501E-10</v>
      </c>
      <c r="E24" s="2">
        <v>1.1102230246251501E-14</v>
      </c>
      <c r="F24" s="2">
        <v>4.1192234808325598E-10</v>
      </c>
    </row>
    <row r="25" spans="1:7" x14ac:dyDescent="0.25">
      <c r="A25" s="1" t="s">
        <v>189</v>
      </c>
      <c r="B25" s="2">
        <v>7.2917400772976004E-6</v>
      </c>
      <c r="C25" s="2">
        <v>8.68600006735202E-10</v>
      </c>
      <c r="D25" s="2">
        <v>3.14187496942505E-2</v>
      </c>
      <c r="E25" s="2">
        <v>1.8351986597053801E-12</v>
      </c>
      <c r="F25" s="2">
        <v>5.9415292685827099E-8</v>
      </c>
    </row>
    <row r="26" spans="1:7" x14ac:dyDescent="0.25">
      <c r="A26" s="1" t="s">
        <v>200</v>
      </c>
    </row>
    <row r="27" spans="1:7" x14ac:dyDescent="0.25">
      <c r="A27" t="s">
        <v>190</v>
      </c>
      <c r="B27" t="s">
        <v>6</v>
      </c>
      <c r="C27" t="s">
        <v>2</v>
      </c>
      <c r="D27" t="s">
        <v>53</v>
      </c>
      <c r="E27" t="s">
        <v>3</v>
      </c>
      <c r="F27" t="s">
        <v>4</v>
      </c>
    </row>
    <row r="28" spans="1:7" x14ac:dyDescent="0.25">
      <c r="A28" s="1" t="s">
        <v>180</v>
      </c>
      <c r="B28" s="2">
        <v>0.65682208263216402</v>
      </c>
      <c r="C28" s="2">
        <v>0.21592299889932701</v>
      </c>
      <c r="D28" s="2">
        <v>1.7560038427340001E-4</v>
      </c>
      <c r="E28" s="2">
        <v>0.61599459630189701</v>
      </c>
      <c r="F28" s="2">
        <v>0.58783197188234104</v>
      </c>
    </row>
    <row r="29" spans="1:7" x14ac:dyDescent="0.25">
      <c r="A29" s="1" t="s">
        <v>181</v>
      </c>
      <c r="B29" s="2">
        <v>0.59353336077726104</v>
      </c>
      <c r="C29" s="2">
        <v>3.3383463346137E-6</v>
      </c>
      <c r="D29" s="15">
        <v>0.56398796542089102</v>
      </c>
      <c r="E29" s="2">
        <v>2.5283721579516699E-8</v>
      </c>
      <c r="F29" s="2">
        <v>0.29765190877030301</v>
      </c>
    </row>
    <row r="30" spans="1:7" x14ac:dyDescent="0.25">
      <c r="A30" s="1" t="s">
        <v>182</v>
      </c>
      <c r="B30" s="2">
        <v>3.4791525721958E-3</v>
      </c>
      <c r="C30" s="15">
        <v>6.2734340838049999E-3</v>
      </c>
      <c r="D30" s="2">
        <v>0.61124979097938104</v>
      </c>
      <c r="E30" s="2">
        <v>0.84725013269428395</v>
      </c>
      <c r="F30" s="2">
        <v>1.1607407043154E-3</v>
      </c>
    </row>
    <row r="31" spans="1:7" x14ac:dyDescent="0.25">
      <c r="A31" s="1" t="s">
        <v>183</v>
      </c>
      <c r="B31" s="2">
        <v>2.6957414847796602E-10</v>
      </c>
      <c r="C31" s="2">
        <v>2.6911719784458299E-10</v>
      </c>
      <c r="D31" s="15">
        <v>8.0181537107140005E-4</v>
      </c>
      <c r="E31" s="2">
        <v>1.41506406177492E-8</v>
      </c>
      <c r="F31" s="2">
        <v>1.30022203612222E-11</v>
      </c>
    </row>
    <row r="32" spans="1:7" x14ac:dyDescent="0.25">
      <c r="A32" s="1" t="s">
        <v>184</v>
      </c>
      <c r="B32" s="2">
        <v>0.85161714206723105</v>
      </c>
      <c r="C32" s="2">
        <v>3.3383463346137E-6</v>
      </c>
      <c r="D32" s="2">
        <v>2.4968263119191898E-12</v>
      </c>
      <c r="E32" s="2">
        <v>3.9211972501652898E-12</v>
      </c>
      <c r="F32" s="2">
        <v>2.7153528399140502E-2</v>
      </c>
    </row>
    <row r="33" spans="1:6" x14ac:dyDescent="0.25">
      <c r="A33" s="1" t="s">
        <v>185</v>
      </c>
      <c r="B33" s="2">
        <v>8.5817161212756803E-5</v>
      </c>
      <c r="C33" s="15">
        <v>4.7599361820727E-3</v>
      </c>
      <c r="D33" s="2">
        <v>1.626378134998E-4</v>
      </c>
      <c r="E33" s="2">
        <v>0.927389726993468</v>
      </c>
      <c r="F33" s="2">
        <v>3.2664984745000002E-4</v>
      </c>
    </row>
    <row r="34" spans="1:6" x14ac:dyDescent="0.25">
      <c r="A34" s="1" t="s">
        <v>186</v>
      </c>
      <c r="B34" s="2">
        <v>5.2627361945470005E-4</v>
      </c>
      <c r="C34" s="2">
        <v>8.3895422761644002E-3</v>
      </c>
      <c r="D34" s="2">
        <v>4.6084241405176397E-2</v>
      </c>
      <c r="E34" s="2">
        <v>2.27016739384279E-11</v>
      </c>
      <c r="F34" s="15">
        <v>0.160505859370632</v>
      </c>
    </row>
    <row r="35" spans="1:6" x14ac:dyDescent="0.25">
      <c r="A35" s="1" t="s">
        <v>187</v>
      </c>
      <c r="B35" s="2">
        <v>3.4747262612246299E-11</v>
      </c>
      <c r="C35" s="2">
        <v>8.9039187930665802E-12</v>
      </c>
      <c r="D35" s="15">
        <v>9.8050268820031103E-12</v>
      </c>
      <c r="E35" s="2">
        <v>5.6853299591988798E-8</v>
      </c>
      <c r="F35" s="15">
        <v>5.0775067732657403E-12</v>
      </c>
    </row>
    <row r="36" spans="1:6" x14ac:dyDescent="0.25">
      <c r="A36" s="1" t="s">
        <v>188</v>
      </c>
      <c r="B36" s="2">
        <v>1.6634122328460199E-11</v>
      </c>
      <c r="C36" s="2">
        <v>3.1415253057106798E-11</v>
      </c>
      <c r="D36" s="2">
        <v>9.2604910308156296E-8</v>
      </c>
      <c r="E36" s="2">
        <v>3.1368380343964398E-13</v>
      </c>
      <c r="F36" s="2">
        <v>7.6438297791417603E-11</v>
      </c>
    </row>
    <row r="37" spans="1:6" x14ac:dyDescent="0.25">
      <c r="A37" s="1" t="s">
        <v>189</v>
      </c>
      <c r="B37" s="2">
        <v>1.6164567116721901E-7</v>
      </c>
      <c r="C37" s="2">
        <v>4.9836337393118799E-11</v>
      </c>
      <c r="D37" s="2">
        <v>1.5441489399933001E-5</v>
      </c>
      <c r="E37" s="2">
        <v>5.4521146082188095E-13</v>
      </c>
      <c r="F37" s="2">
        <v>9.4228137678602202E-8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E0BF-12BE-4CE2-9BF8-8C92865A49FB}">
  <dimension ref="A1:W47"/>
  <sheetViews>
    <sheetView zoomScale="85" zoomScaleNormal="85" workbookViewId="0">
      <selection activeCell="F3" sqref="F3"/>
    </sheetView>
  </sheetViews>
  <sheetFormatPr defaultRowHeight="15" x14ac:dyDescent="0.25"/>
  <cols>
    <col min="2" max="6" width="18.28515625" customWidth="1"/>
    <col min="7" max="11" width="13.28515625" customWidth="1"/>
    <col min="12" max="12" width="13.7109375" customWidth="1"/>
    <col min="13" max="22" width="13.28515625" customWidth="1"/>
  </cols>
  <sheetData>
    <row r="1" spans="1:23" x14ac:dyDescent="0.25">
      <c r="A1" s="8" t="s">
        <v>13</v>
      </c>
      <c r="B1" s="8"/>
      <c r="C1" s="8" t="s">
        <v>6</v>
      </c>
      <c r="D1" s="8"/>
      <c r="E1" s="8"/>
      <c r="F1" s="8"/>
      <c r="G1" s="8" t="s">
        <v>2</v>
      </c>
      <c r="H1" s="8"/>
      <c r="I1" s="8"/>
      <c r="J1" s="8"/>
      <c r="K1" s="8" t="s">
        <v>53</v>
      </c>
      <c r="L1" s="8"/>
      <c r="M1" s="8"/>
      <c r="N1" s="8"/>
      <c r="O1" s="8" t="s">
        <v>3</v>
      </c>
      <c r="P1" s="8"/>
      <c r="Q1" s="8"/>
      <c r="R1" s="8"/>
      <c r="S1" s="8" t="s">
        <v>4</v>
      </c>
      <c r="T1" s="8"/>
      <c r="U1" s="8"/>
      <c r="V1" s="8"/>
    </row>
    <row r="2" spans="1:23" x14ac:dyDescent="0.25">
      <c r="A2" t="s">
        <v>10</v>
      </c>
      <c r="B2" t="s">
        <v>11</v>
      </c>
      <c r="C2" t="s">
        <v>8</v>
      </c>
      <c r="D2" s="2" t="s">
        <v>12</v>
      </c>
      <c r="E2" s="2" t="s">
        <v>5</v>
      </c>
      <c r="F2" s="2" t="s">
        <v>9</v>
      </c>
      <c r="G2" t="s">
        <v>8</v>
      </c>
      <c r="H2" s="2" t="s">
        <v>12</v>
      </c>
      <c r="I2" s="2" t="s">
        <v>5</v>
      </c>
      <c r="J2" s="2" t="s">
        <v>9</v>
      </c>
      <c r="K2" t="s">
        <v>8</v>
      </c>
      <c r="L2" s="2" t="s">
        <v>12</v>
      </c>
      <c r="M2" s="2" t="s">
        <v>5</v>
      </c>
      <c r="N2" s="2" t="s">
        <v>9</v>
      </c>
      <c r="O2" t="s">
        <v>8</v>
      </c>
      <c r="P2" s="2" t="s">
        <v>12</v>
      </c>
      <c r="Q2" s="2" t="s">
        <v>5</v>
      </c>
      <c r="R2" s="2" t="s">
        <v>9</v>
      </c>
      <c r="S2" t="s">
        <v>8</v>
      </c>
      <c r="T2" s="2" t="s">
        <v>12</v>
      </c>
      <c r="U2" s="2" t="s">
        <v>5</v>
      </c>
      <c r="V2" s="2" t="s">
        <v>9</v>
      </c>
    </row>
    <row r="3" spans="1:23" x14ac:dyDescent="0.25">
      <c r="A3" s="1">
        <v>0</v>
      </c>
      <c r="B3" s="1">
        <v>0.25</v>
      </c>
      <c r="C3" s="2">
        <v>6.4619301611199597E-5</v>
      </c>
      <c r="D3" s="2">
        <v>6.77400633920748E-6</v>
      </c>
      <c r="E3" s="2">
        <v>0.95540445955404396</v>
      </c>
      <c r="F3" s="2" t="s">
        <v>18</v>
      </c>
      <c r="G3" s="2">
        <v>3.9196850165639999E-4</v>
      </c>
      <c r="H3" s="2">
        <v>3.2692937406934402E-5</v>
      </c>
      <c r="I3" s="2">
        <v>0.64783521647835196</v>
      </c>
      <c r="J3" s="2" t="s">
        <v>26</v>
      </c>
      <c r="K3" s="2">
        <v>7.6026311234992802E-2</v>
      </c>
      <c r="L3" s="2">
        <v>7.3297654146679001E-3</v>
      </c>
      <c r="M3" s="2">
        <v>9.9990000999899999E-3</v>
      </c>
      <c r="N3" s="2" t="s">
        <v>27</v>
      </c>
      <c r="O3" s="2">
        <v>-1.2454148662944999E-3</v>
      </c>
      <c r="P3" s="2">
        <v>-1.8689723169209999E-4</v>
      </c>
      <c r="Q3" s="2">
        <v>0.916308369163083</v>
      </c>
      <c r="R3" s="2" t="s">
        <v>28</v>
      </c>
      <c r="S3" s="2">
        <v>-1.6119877929581001E-3</v>
      </c>
      <c r="T3" s="2">
        <v>-2.0441031483270001E-4</v>
      </c>
      <c r="U3" s="2">
        <v>0.51804819518048195</v>
      </c>
      <c r="V3" s="2" t="s">
        <v>191</v>
      </c>
    </row>
    <row r="4" spans="1:23" x14ac:dyDescent="0.25">
      <c r="A4" s="1">
        <v>0</v>
      </c>
      <c r="B4" s="1">
        <v>0.5</v>
      </c>
      <c r="C4" s="2">
        <v>-1.3480512226568999E-3</v>
      </c>
      <c r="D4" s="2">
        <v>-1.4241060176250001E-4</v>
      </c>
      <c r="E4" s="2">
        <v>0.20977902209779001</v>
      </c>
      <c r="F4" s="2" t="s">
        <v>18</v>
      </c>
      <c r="G4" s="2">
        <v>-7.0417410318027998E-3</v>
      </c>
      <c r="H4" s="2">
        <v>-6.2331637632319999E-4</v>
      </c>
      <c r="I4" s="2">
        <v>9.9990000999900002E-5</v>
      </c>
      <c r="J4" s="2" t="s">
        <v>29</v>
      </c>
      <c r="K4" s="2">
        <v>2.0838699100999E-2</v>
      </c>
      <c r="L4" s="2">
        <v>9.4721359545689998E-3</v>
      </c>
      <c r="M4" s="2">
        <v>0.103489651034896</v>
      </c>
      <c r="N4" s="2" t="s">
        <v>30</v>
      </c>
      <c r="O4" s="2">
        <v>-3.5385484162405799E-2</v>
      </c>
      <c r="P4" s="2">
        <v>-1.18077416492936E-2</v>
      </c>
      <c r="Q4" s="2">
        <v>9.9990000999900002E-5</v>
      </c>
      <c r="R4" s="2" t="s">
        <v>31</v>
      </c>
      <c r="S4" s="2">
        <v>-1.1089503080051E-3</v>
      </c>
      <c r="T4" s="2">
        <v>-1.336634912219E-4</v>
      </c>
      <c r="U4" s="2">
        <v>0.57364263573642604</v>
      </c>
      <c r="V4" s="2" t="s">
        <v>192</v>
      </c>
    </row>
    <row r="5" spans="1:23" x14ac:dyDescent="0.25">
      <c r="A5" s="1">
        <v>0</v>
      </c>
      <c r="B5" s="1">
        <v>0.75</v>
      </c>
      <c r="C5" s="2">
        <v>1.4989109790165E-3</v>
      </c>
      <c r="D5" s="2">
        <v>1.4682831660879999E-4</v>
      </c>
      <c r="E5" s="2">
        <v>0.17298270172982699</v>
      </c>
      <c r="F5" s="2" t="s">
        <v>19</v>
      </c>
      <c r="G5" s="2">
        <v>-2.1921424376759998E-3</v>
      </c>
      <c r="H5" s="2">
        <v>-1.8159504870740001E-4</v>
      </c>
      <c r="I5" s="2">
        <v>1.3898610138986099E-2</v>
      </c>
      <c r="J5" s="2" t="s">
        <v>32</v>
      </c>
      <c r="K5" s="2">
        <v>0</v>
      </c>
      <c r="L5" s="2">
        <v>0</v>
      </c>
      <c r="M5" s="2">
        <v>1</v>
      </c>
      <c r="N5" s="2" t="s">
        <v>33</v>
      </c>
      <c r="O5" s="2">
        <v>-4.9420047819634001E-3</v>
      </c>
      <c r="P5" s="2">
        <v>-7.0695679419050005E-4</v>
      </c>
      <c r="Q5" s="2">
        <v>0.35126487351264801</v>
      </c>
      <c r="R5" s="2" t="s">
        <v>34</v>
      </c>
      <c r="S5" s="2">
        <v>5.4855669462641997E-3</v>
      </c>
      <c r="T5" s="2">
        <v>6.853073750861E-4</v>
      </c>
      <c r="U5" s="2">
        <v>1.22987701229877E-2</v>
      </c>
      <c r="V5" s="2" t="s">
        <v>193</v>
      </c>
    </row>
    <row r="6" spans="1:23" x14ac:dyDescent="0.25">
      <c r="A6" s="4">
        <v>0</v>
      </c>
      <c r="B6" s="4">
        <v>1</v>
      </c>
      <c r="C6" s="5">
        <v>1.4672054095802099E-2</v>
      </c>
      <c r="D6" s="5">
        <v>1.4148421278093999E-3</v>
      </c>
      <c r="E6" s="5">
        <v>9.9990000999900002E-5</v>
      </c>
      <c r="F6" s="5" t="s">
        <v>20</v>
      </c>
      <c r="G6" s="5">
        <v>8.0974701771684005E-3</v>
      </c>
      <c r="H6" s="5">
        <v>6.4135000449380003E-4</v>
      </c>
      <c r="I6" s="5">
        <v>9.9990000999900002E-5</v>
      </c>
      <c r="J6" s="5" t="s">
        <v>35</v>
      </c>
      <c r="K6" s="5">
        <v>0</v>
      </c>
      <c r="L6" s="5">
        <v>0</v>
      </c>
      <c r="M6" s="5">
        <v>1</v>
      </c>
      <c r="N6" s="5" t="s">
        <v>33</v>
      </c>
      <c r="O6" s="5">
        <v>2.9764993944166401E-2</v>
      </c>
      <c r="P6" s="5">
        <v>3.0025867754688998E-3</v>
      </c>
      <c r="Q6" s="5">
        <v>9.9990000999900002E-5</v>
      </c>
      <c r="R6" s="5" t="s">
        <v>36</v>
      </c>
      <c r="S6" s="5">
        <v>1.1217631132602299E-2</v>
      </c>
      <c r="T6" s="5">
        <v>1.2082818753617001E-3</v>
      </c>
      <c r="U6" s="5">
        <v>9.9990000999900002E-5</v>
      </c>
      <c r="V6" s="5" t="s">
        <v>17</v>
      </c>
      <c r="W6" s="6"/>
    </row>
    <row r="7" spans="1:23" x14ac:dyDescent="0.25">
      <c r="A7" s="1">
        <v>0.25</v>
      </c>
      <c r="B7" s="1">
        <v>0.5</v>
      </c>
      <c r="C7" s="2">
        <v>-7.7060893807698303E-5</v>
      </c>
      <c r="D7" s="2">
        <v>-8.1408540529208494E-6</v>
      </c>
      <c r="E7" s="2">
        <v>0.84951504849515003</v>
      </c>
      <c r="F7" s="2" t="s">
        <v>21</v>
      </c>
      <c r="G7" s="2">
        <v>-6.7753347669311003E-3</v>
      </c>
      <c r="H7" s="2">
        <v>-5.9973479516309996E-4</v>
      </c>
      <c r="I7" s="2">
        <v>9.9990000999900002E-5</v>
      </c>
      <c r="J7" s="2" t="s">
        <v>37</v>
      </c>
      <c r="K7" s="2">
        <v>-8.5517440445724902E-2</v>
      </c>
      <c r="L7" s="2">
        <v>-3.8871563837198898E-2</v>
      </c>
      <c r="M7" s="2">
        <v>9.9990000999900002E-5</v>
      </c>
      <c r="N7" s="2" t="s">
        <v>38</v>
      </c>
      <c r="O7" s="2">
        <v>-3.11225799545846E-2</v>
      </c>
      <c r="P7" s="2">
        <v>-1.03852580305696E-2</v>
      </c>
      <c r="Q7" s="2">
        <v>9.9990000999900002E-5</v>
      </c>
      <c r="R7" s="2" t="s">
        <v>39</v>
      </c>
      <c r="S7" s="2">
        <v>2.1810227922590998E-3</v>
      </c>
      <c r="T7" s="2">
        <v>2.6288204146169999E-4</v>
      </c>
      <c r="U7" s="2">
        <v>5.5994400559943999E-3</v>
      </c>
      <c r="V7" s="2" t="s">
        <v>194</v>
      </c>
    </row>
    <row r="8" spans="1:23" x14ac:dyDescent="0.25">
      <c r="A8" s="1">
        <v>0.25</v>
      </c>
      <c r="B8" s="1">
        <v>0.75</v>
      </c>
      <c r="C8" s="2">
        <v>3.5019585979247998E-3</v>
      </c>
      <c r="D8" s="2">
        <v>3.4304017581110002E-4</v>
      </c>
      <c r="E8" s="2">
        <v>5.9994000599939996E-4</v>
      </c>
      <c r="F8" s="2" t="s">
        <v>22</v>
      </c>
      <c r="G8" s="2">
        <v>-3.7187136872014999E-3</v>
      </c>
      <c r="H8" s="2">
        <v>-3.0805479678239998E-4</v>
      </c>
      <c r="I8" s="2">
        <v>5.64943505649435E-2</v>
      </c>
      <c r="J8" s="2" t="s">
        <v>40</v>
      </c>
      <c r="K8" s="2">
        <v>-6.9183920284072595E-2</v>
      </c>
      <c r="L8" s="2">
        <v>-691839202.84072602</v>
      </c>
      <c r="M8" s="2">
        <v>9.9990000999900002E-5</v>
      </c>
      <c r="N8" s="2" t="s">
        <v>41</v>
      </c>
      <c r="O8" s="2">
        <v>6.0072935572708999E-3</v>
      </c>
      <c r="P8" s="2">
        <v>8.5934700235600005E-4</v>
      </c>
      <c r="Q8" s="2">
        <v>0.39836016398360102</v>
      </c>
      <c r="R8" s="2" t="s">
        <v>42</v>
      </c>
      <c r="S8" s="2">
        <v>3.1307179533308E-3</v>
      </c>
      <c r="T8" s="2">
        <v>3.911180236699E-4</v>
      </c>
      <c r="U8" s="2">
        <v>4.9995000499950004E-4</v>
      </c>
      <c r="V8" s="2" t="s">
        <v>195</v>
      </c>
    </row>
    <row r="9" spans="1:23" x14ac:dyDescent="0.25">
      <c r="A9" s="1">
        <v>0.25</v>
      </c>
      <c r="B9" s="1">
        <v>1</v>
      </c>
      <c r="C9" s="2">
        <v>2.5763255422601998E-3</v>
      </c>
      <c r="D9" s="2">
        <v>2.523682511516E-4</v>
      </c>
      <c r="E9" s="2">
        <v>2.9997000299969998E-4</v>
      </c>
      <c r="F9" s="2" t="s">
        <v>22</v>
      </c>
      <c r="G9" s="2">
        <v>3.6902637742002998E-3</v>
      </c>
      <c r="H9" s="2">
        <v>3.0569803234569998E-4</v>
      </c>
      <c r="I9" s="2">
        <v>6.3993600639936001E-3</v>
      </c>
      <c r="J9" s="2" t="s">
        <v>46</v>
      </c>
      <c r="K9" s="2">
        <v>-1.8820161491204E-2</v>
      </c>
      <c r="L9" s="2">
        <v>-188201614.91204</v>
      </c>
      <c r="M9" s="2">
        <v>0.32616738326167299</v>
      </c>
      <c r="N9" s="2" t="s">
        <v>47</v>
      </c>
      <c r="O9" s="2">
        <v>3.9114734086320498E-2</v>
      </c>
      <c r="P9" s="2">
        <v>5.5953865354805999E-3</v>
      </c>
      <c r="Q9" s="2">
        <v>9.9990000999900002E-5</v>
      </c>
      <c r="R9" s="2" t="s">
        <v>48</v>
      </c>
      <c r="S9" s="2">
        <v>1.1652409443136001E-3</v>
      </c>
      <c r="T9" s="2">
        <v>1.4557259453990001E-4</v>
      </c>
      <c r="U9" s="2">
        <v>0.19798020197980201</v>
      </c>
      <c r="V9" s="2" t="s">
        <v>197</v>
      </c>
    </row>
    <row r="10" spans="1:23" x14ac:dyDescent="0.25">
      <c r="A10" s="1">
        <v>0.5</v>
      </c>
      <c r="B10" s="1">
        <v>1</v>
      </c>
      <c r="C10" s="2">
        <v>1.13180688288456E-2</v>
      </c>
      <c r="D10" s="2">
        <v>1.0914136820882E-3</v>
      </c>
      <c r="E10" s="2">
        <v>9.9990000999900002E-5</v>
      </c>
      <c r="F10" s="2" t="s">
        <v>23</v>
      </c>
      <c r="G10" s="2">
        <v>1.47383779522393E-2</v>
      </c>
      <c r="H10" s="2">
        <v>1.1673348044619E-3</v>
      </c>
      <c r="I10" s="2">
        <v>9.9990000999900002E-5</v>
      </c>
      <c r="J10" s="2" t="s">
        <v>49</v>
      </c>
      <c r="K10" s="2">
        <v>-2.1999999999999999E-2</v>
      </c>
      <c r="L10" s="2">
        <v>-220000000</v>
      </c>
      <c r="M10" s="2">
        <v>9.9990000999900002E-5</v>
      </c>
      <c r="N10" s="2" t="s">
        <v>50</v>
      </c>
      <c r="O10" s="2">
        <v>6.9053581490064603E-2</v>
      </c>
      <c r="P10" s="2">
        <v>6.9658798174043997E-3</v>
      </c>
      <c r="Q10" s="2">
        <v>9.9990000999900002E-5</v>
      </c>
      <c r="R10" s="2" t="s">
        <v>51</v>
      </c>
      <c r="S10" s="2">
        <v>1.08281377463244E-2</v>
      </c>
      <c r="T10" s="2">
        <v>1.1663284723972E-3</v>
      </c>
      <c r="U10" s="2">
        <v>9.9990000999900002E-5</v>
      </c>
      <c r="V10" s="2" t="s">
        <v>198</v>
      </c>
    </row>
    <row r="11" spans="1:23" x14ac:dyDescent="0.25">
      <c r="A11" s="1">
        <v>0.5</v>
      </c>
      <c r="B11" s="1">
        <v>0.75</v>
      </c>
      <c r="C11" s="2">
        <v>1.2445664138932199E-2</v>
      </c>
      <c r="D11" s="2">
        <v>1.2001489237533E-3</v>
      </c>
      <c r="E11" s="2">
        <v>9.9990000999900002E-5</v>
      </c>
      <c r="F11" s="2" t="s">
        <v>17</v>
      </c>
      <c r="G11" s="2">
        <v>7.3939575851417003E-3</v>
      </c>
      <c r="H11" s="2">
        <v>5.8562916895069995E-4</v>
      </c>
      <c r="I11" s="2">
        <v>9.9990000999900002E-5</v>
      </c>
      <c r="J11" s="2" t="s">
        <v>43</v>
      </c>
      <c r="K11" s="2">
        <v>-9.8149545762236404E-2</v>
      </c>
      <c r="L11" s="2">
        <v>-981495457.62236404</v>
      </c>
      <c r="M11" s="2">
        <v>9.9990000999900002E-5</v>
      </c>
      <c r="N11" s="2" t="s">
        <v>44</v>
      </c>
      <c r="O11" s="2">
        <v>4.3474323489149702E-2</v>
      </c>
      <c r="P11" s="2">
        <v>4.3855352037308996E-3</v>
      </c>
      <c r="Q11" s="2">
        <v>9.9990000999900002E-5</v>
      </c>
      <c r="R11" s="2" t="s">
        <v>45</v>
      </c>
      <c r="S11" s="2">
        <v>1.26957528929128E-2</v>
      </c>
      <c r="T11" s="2">
        <v>1.3674944320458001E-3</v>
      </c>
      <c r="U11" s="2">
        <v>9.9990000999900002E-5</v>
      </c>
      <c r="V11" s="2" t="s">
        <v>196</v>
      </c>
    </row>
    <row r="12" spans="1:23" x14ac:dyDescent="0.25">
      <c r="A12" s="1">
        <v>0.75</v>
      </c>
      <c r="B12" s="1">
        <v>1</v>
      </c>
      <c r="C12" s="2">
        <v>7.4007352594086997E-3</v>
      </c>
      <c r="D12" s="2">
        <v>7.1366094709060003E-4</v>
      </c>
      <c r="E12" s="2">
        <v>9.9990000999900002E-5</v>
      </c>
      <c r="F12" s="2" t="s">
        <v>24</v>
      </c>
      <c r="G12" s="2">
        <v>9.5925878539068008E-3</v>
      </c>
      <c r="H12" s="2">
        <v>7.5976893135800002E-4</v>
      </c>
      <c r="I12" s="2">
        <v>9.9990000999900002E-5</v>
      </c>
      <c r="J12" s="2" t="s">
        <v>25</v>
      </c>
      <c r="K12" s="2">
        <v>0</v>
      </c>
      <c r="L12" s="2">
        <v>0</v>
      </c>
      <c r="M12" s="2">
        <v>1</v>
      </c>
      <c r="N12" s="2" t="s">
        <v>33</v>
      </c>
      <c r="O12" s="2">
        <v>3.5832683650645902E-2</v>
      </c>
      <c r="P12" s="2">
        <v>3.6146737426122001E-3</v>
      </c>
      <c r="Q12" s="2">
        <v>9.9990000999900002E-5</v>
      </c>
      <c r="R12" s="2" t="s">
        <v>52</v>
      </c>
      <c r="S12" s="2">
        <v>7.6173317786387001E-3</v>
      </c>
      <c r="T12" s="2">
        <v>8.2048373831759998E-4</v>
      </c>
      <c r="U12" s="2">
        <v>9.9990000999900002E-5</v>
      </c>
      <c r="V12" s="2" t="s">
        <v>199</v>
      </c>
    </row>
    <row r="16" spans="1:23" x14ac:dyDescent="0.25">
      <c r="A16" s="8" t="s">
        <v>13</v>
      </c>
      <c r="B16" s="8"/>
    </row>
    <row r="17" spans="1:22" x14ac:dyDescent="0.25">
      <c r="A17" t="s">
        <v>10</v>
      </c>
      <c r="B17" t="s">
        <v>6</v>
      </c>
      <c r="C17" t="s">
        <v>2</v>
      </c>
      <c r="D17" t="s">
        <v>53</v>
      </c>
      <c r="E17" t="s">
        <v>3</v>
      </c>
      <c r="F17" t="s">
        <v>4</v>
      </c>
    </row>
    <row r="18" spans="1:22" x14ac:dyDescent="0.25">
      <c r="A18" s="1" t="str">
        <f>A3&amp;"-"&amp;B3</f>
        <v>0-0.25</v>
      </c>
      <c r="B18" s="2">
        <f>D3</f>
        <v>6.77400633920748E-6</v>
      </c>
      <c r="C18" s="2">
        <f>H3</f>
        <v>3.2692937406934402E-5</v>
      </c>
      <c r="D18" s="2">
        <f>L3</f>
        <v>7.3297654146679001E-3</v>
      </c>
      <c r="E18" s="2">
        <f>P3</f>
        <v>-1.8689723169209999E-4</v>
      </c>
      <c r="F18" s="2">
        <f>T3</f>
        <v>-2.0441031483270001E-4</v>
      </c>
    </row>
    <row r="19" spans="1:22" x14ac:dyDescent="0.25">
      <c r="A19" s="1" t="str">
        <f>A4&amp;"-"&amp;B4</f>
        <v>0-0.5</v>
      </c>
      <c r="B19" s="2">
        <f>D4</f>
        <v>-1.4241060176250001E-4</v>
      </c>
      <c r="C19" s="2">
        <f>H4</f>
        <v>-6.2331637632319999E-4</v>
      </c>
      <c r="D19" s="2">
        <f>L4</f>
        <v>9.4721359545689998E-3</v>
      </c>
      <c r="E19" s="2">
        <f>P4</f>
        <v>-1.18077416492936E-2</v>
      </c>
      <c r="F19" s="2">
        <f t="shared" ref="F19:F21" si="0">T4</f>
        <v>-1.336634912219E-4</v>
      </c>
    </row>
    <row r="20" spans="1:22" x14ac:dyDescent="0.25">
      <c r="A20" s="1" t="str">
        <f>A5&amp;"-"&amp;B5</f>
        <v>0-0.75</v>
      </c>
      <c r="B20" s="2">
        <f>D5</f>
        <v>1.4682831660879999E-4</v>
      </c>
      <c r="C20" s="2">
        <f>H5</f>
        <v>-1.8159504870740001E-4</v>
      </c>
      <c r="D20" s="2">
        <f>L5</f>
        <v>0</v>
      </c>
      <c r="E20" s="2">
        <f>P5</f>
        <v>-7.0695679419050005E-4</v>
      </c>
      <c r="F20" s="2">
        <f t="shared" si="0"/>
        <v>6.853073750861E-4</v>
      </c>
    </row>
    <row r="21" spans="1:22" x14ac:dyDescent="0.25">
      <c r="A21" s="1" t="str">
        <f>A6&amp;"-"&amp;B6</f>
        <v>0-1</v>
      </c>
      <c r="B21" s="2">
        <f>D6</f>
        <v>1.4148421278093999E-3</v>
      </c>
      <c r="C21" s="2">
        <f>H6</f>
        <v>6.4135000449380003E-4</v>
      </c>
      <c r="D21" s="2">
        <f>L6</f>
        <v>0</v>
      </c>
      <c r="E21" s="2">
        <f>P6</f>
        <v>3.0025867754688998E-3</v>
      </c>
      <c r="F21" s="2">
        <f t="shared" si="0"/>
        <v>1.2082818753617001E-3</v>
      </c>
    </row>
    <row r="22" spans="1:22" x14ac:dyDescent="0.25">
      <c r="A22" s="1"/>
      <c r="B22" s="2"/>
      <c r="C22" s="2"/>
      <c r="D22" s="2"/>
      <c r="E22" s="2"/>
      <c r="F22" s="2"/>
    </row>
    <row r="23" spans="1:22" x14ac:dyDescent="0.25">
      <c r="A23" s="1"/>
      <c r="B23" s="2"/>
      <c r="C23" s="2"/>
      <c r="D23" s="2"/>
      <c r="E23" s="2"/>
      <c r="F23" s="2"/>
    </row>
    <row r="24" spans="1:22" x14ac:dyDescent="0.25">
      <c r="A24" s="1"/>
      <c r="B24" s="2"/>
      <c r="C24" s="2"/>
      <c r="D24" s="2"/>
      <c r="E24" s="2"/>
      <c r="F24" s="2"/>
    </row>
    <row r="25" spans="1:22" x14ac:dyDescent="0.25">
      <c r="A25" s="1"/>
      <c r="B25" s="2"/>
      <c r="C25" s="2"/>
      <c r="D25" s="2"/>
      <c r="E25" s="2"/>
      <c r="F25" s="2"/>
    </row>
    <row r="26" spans="1:22" x14ac:dyDescent="0.25">
      <c r="A26" s="1"/>
      <c r="B26" s="2"/>
      <c r="C26" s="2"/>
      <c r="D26" s="2"/>
      <c r="E26" s="2"/>
      <c r="F26" s="2"/>
    </row>
    <row r="27" spans="1:22" x14ac:dyDescent="0.25">
      <c r="A27" s="1"/>
      <c r="B27" s="2"/>
      <c r="C27" s="2"/>
      <c r="D27" s="2"/>
      <c r="E27" s="2"/>
      <c r="F27" s="2"/>
    </row>
    <row r="29" spans="1:22" x14ac:dyDescent="0.25">
      <c r="A29" s="8" t="s">
        <v>13</v>
      </c>
      <c r="B29" s="8"/>
      <c r="C29" s="8" t="s">
        <v>6</v>
      </c>
      <c r="D29" s="8"/>
      <c r="E29" s="8"/>
      <c r="F29" s="8"/>
      <c r="G29" s="8" t="s">
        <v>2</v>
      </c>
      <c r="H29" s="8"/>
      <c r="I29" s="8"/>
      <c r="J29" s="8"/>
      <c r="K29" s="8" t="s">
        <v>53</v>
      </c>
      <c r="L29" s="8"/>
      <c r="M29" s="8"/>
      <c r="N29" s="8"/>
      <c r="O29" s="8" t="s">
        <v>3</v>
      </c>
      <c r="P29" s="8"/>
      <c r="Q29" s="8"/>
      <c r="R29" s="8"/>
      <c r="S29" s="8" t="s">
        <v>4</v>
      </c>
      <c r="T29" s="8"/>
      <c r="U29" s="8"/>
      <c r="V29" s="8"/>
    </row>
    <row r="30" spans="1:22" x14ac:dyDescent="0.25">
      <c r="A30" t="s">
        <v>10</v>
      </c>
      <c r="B30" t="s">
        <v>11</v>
      </c>
      <c r="C30" t="s">
        <v>8</v>
      </c>
      <c r="D30" s="2" t="s">
        <v>12</v>
      </c>
      <c r="E30" s="2" t="s">
        <v>5</v>
      </c>
      <c r="F30" s="2" t="s">
        <v>9</v>
      </c>
      <c r="G30" t="s">
        <v>8</v>
      </c>
      <c r="H30" s="2" t="s">
        <v>12</v>
      </c>
      <c r="I30" s="2" t="s">
        <v>5</v>
      </c>
      <c r="J30" s="2" t="s">
        <v>9</v>
      </c>
      <c r="K30" t="s">
        <v>8</v>
      </c>
      <c r="L30" s="2" t="s">
        <v>12</v>
      </c>
      <c r="M30" s="2" t="s">
        <v>5</v>
      </c>
      <c r="N30" s="2" t="s">
        <v>9</v>
      </c>
      <c r="O30" t="s">
        <v>8</v>
      </c>
      <c r="P30" s="2" t="s">
        <v>12</v>
      </c>
      <c r="Q30" s="2" t="s">
        <v>5</v>
      </c>
      <c r="R30" s="2" t="s">
        <v>9</v>
      </c>
      <c r="S30" t="s">
        <v>8</v>
      </c>
      <c r="T30" s="2" t="s">
        <v>12</v>
      </c>
      <c r="U30" s="2" t="s">
        <v>5</v>
      </c>
      <c r="V30" s="2" t="s">
        <v>9</v>
      </c>
    </row>
    <row r="31" spans="1:22" x14ac:dyDescent="0.25">
      <c r="A31" s="1">
        <v>0</v>
      </c>
      <c r="B31" s="1">
        <v>0.25</v>
      </c>
      <c r="C31" s="2">
        <v>6.4619301611199597E-5</v>
      </c>
      <c r="D31" s="2">
        <v>6.77400633920748E-6</v>
      </c>
      <c r="E31" s="2">
        <v>0.95540445955404396</v>
      </c>
      <c r="F31" s="2" t="s">
        <v>18</v>
      </c>
      <c r="G31" s="2">
        <v>3.9196850165639999E-4</v>
      </c>
      <c r="H31" s="2">
        <v>3.2692937406934402E-5</v>
      </c>
      <c r="I31" s="2">
        <v>0.64783521647835196</v>
      </c>
      <c r="J31" s="2" t="s">
        <v>26</v>
      </c>
      <c r="K31" s="2">
        <v>7.6026311234992802E-2</v>
      </c>
      <c r="L31" s="2">
        <v>7.3297654146679001E-3</v>
      </c>
      <c r="M31" s="2">
        <v>9.9990000999899999E-3</v>
      </c>
      <c r="N31" s="2" t="s">
        <v>27</v>
      </c>
      <c r="O31" s="2">
        <v>-1.2454148662944999E-3</v>
      </c>
      <c r="P31" s="2">
        <v>-1.8689723169209999E-4</v>
      </c>
      <c r="Q31" s="2">
        <v>0.916308369163083</v>
      </c>
      <c r="R31" s="2" t="s">
        <v>28</v>
      </c>
      <c r="S31" s="2">
        <v>6.4619301611199597E-5</v>
      </c>
      <c r="T31" s="2">
        <v>6.77400633920748E-6</v>
      </c>
      <c r="U31" s="2">
        <v>0.95540445955404396</v>
      </c>
      <c r="V31" s="2" t="s">
        <v>18</v>
      </c>
    </row>
    <row r="32" spans="1:22" x14ac:dyDescent="0.25">
      <c r="A32" s="1">
        <v>0</v>
      </c>
      <c r="B32" s="1">
        <v>0.5</v>
      </c>
      <c r="C32" s="2">
        <v>-1.3480512226568999E-3</v>
      </c>
      <c r="D32" s="2">
        <v>-1.4241060176250001E-4</v>
      </c>
      <c r="E32" s="2">
        <v>0.20977902209779001</v>
      </c>
      <c r="F32" s="2" t="s">
        <v>18</v>
      </c>
      <c r="G32" s="2">
        <v>-7.0417410318027998E-3</v>
      </c>
      <c r="H32" s="2">
        <v>-6.2331637632319999E-4</v>
      </c>
      <c r="I32" s="2">
        <v>9.9990000999900002E-5</v>
      </c>
      <c r="J32" s="2" t="s">
        <v>29</v>
      </c>
      <c r="K32" s="2">
        <v>2.0838699100999E-2</v>
      </c>
      <c r="L32" s="2">
        <v>9.4721359545689998E-3</v>
      </c>
      <c r="M32" s="2">
        <v>0.103489651034896</v>
      </c>
      <c r="N32" s="2" t="s">
        <v>30</v>
      </c>
      <c r="O32" s="2">
        <v>-3.5385484162405799E-2</v>
      </c>
      <c r="P32" s="2">
        <v>-1.18077416492936E-2</v>
      </c>
      <c r="Q32" s="2">
        <v>9.9990000999900002E-5</v>
      </c>
      <c r="R32" s="2" t="s">
        <v>31</v>
      </c>
      <c r="S32" s="2">
        <v>-1.3480512226568999E-3</v>
      </c>
      <c r="T32" s="2">
        <v>-1.4241060176250001E-4</v>
      </c>
      <c r="U32" s="2">
        <v>0.20977902209779001</v>
      </c>
      <c r="V32" s="2" t="s">
        <v>18</v>
      </c>
    </row>
    <row r="33" spans="1:22" x14ac:dyDescent="0.25">
      <c r="A33" s="1">
        <v>0</v>
      </c>
      <c r="B33" s="1">
        <v>0.75</v>
      </c>
      <c r="C33" s="2">
        <v>1.4989109790165E-3</v>
      </c>
      <c r="D33" s="2">
        <v>1.4682831660879999E-4</v>
      </c>
      <c r="E33" s="2">
        <v>0.17298270172982699</v>
      </c>
      <c r="F33" s="2" t="s">
        <v>19</v>
      </c>
      <c r="G33" s="2">
        <v>-2.1921424376759998E-3</v>
      </c>
      <c r="H33" s="2">
        <v>-1.8159504870740001E-4</v>
      </c>
      <c r="I33" s="2">
        <v>1.3898610138986099E-2</v>
      </c>
      <c r="J33" s="2" t="s">
        <v>32</v>
      </c>
      <c r="K33" s="2">
        <v>0</v>
      </c>
      <c r="L33" s="2">
        <v>0</v>
      </c>
      <c r="M33" s="2">
        <v>1</v>
      </c>
      <c r="N33" s="2" t="s">
        <v>33</v>
      </c>
      <c r="O33" s="2">
        <v>-4.9420047819634001E-3</v>
      </c>
      <c r="P33" s="2">
        <v>-7.0695679419050005E-4</v>
      </c>
      <c r="Q33" s="2">
        <v>0.35126487351264801</v>
      </c>
      <c r="R33" s="2" t="s">
        <v>34</v>
      </c>
      <c r="S33" s="2">
        <v>1.4989109790165E-3</v>
      </c>
      <c r="T33" s="2">
        <v>1.4682831660879999E-4</v>
      </c>
      <c r="U33" s="2">
        <v>0.17298270172982699</v>
      </c>
      <c r="V33" s="2" t="s">
        <v>19</v>
      </c>
    </row>
    <row r="34" spans="1:22" s="11" customFormat="1" x14ac:dyDescent="0.25">
      <c r="A34" s="9">
        <v>0</v>
      </c>
      <c r="B34" s="9">
        <v>1</v>
      </c>
      <c r="C34" s="10">
        <v>1.4672054095802099E-2</v>
      </c>
      <c r="D34" s="10">
        <v>1.4148421278093999E-3</v>
      </c>
      <c r="E34" s="10">
        <v>9.9990000999900002E-5</v>
      </c>
      <c r="F34" s="10" t="s">
        <v>20</v>
      </c>
      <c r="G34" s="10">
        <v>8.0974701771684005E-3</v>
      </c>
      <c r="H34" s="10">
        <v>6.4135000449380003E-4</v>
      </c>
      <c r="I34" s="10">
        <v>9.9990000999900002E-5</v>
      </c>
      <c r="J34" s="10" t="s">
        <v>35</v>
      </c>
      <c r="K34" s="10">
        <v>0</v>
      </c>
      <c r="L34" s="10">
        <v>0</v>
      </c>
      <c r="M34" s="10">
        <v>1</v>
      </c>
      <c r="N34" s="10" t="s">
        <v>33</v>
      </c>
      <c r="O34" s="10">
        <v>2.9764993944166401E-2</v>
      </c>
      <c r="P34" s="10">
        <v>3.0025867754688998E-3</v>
      </c>
      <c r="Q34" s="10">
        <v>9.9990000999900002E-5</v>
      </c>
      <c r="R34" s="10" t="s">
        <v>36</v>
      </c>
      <c r="S34" s="10">
        <v>1.4672054095802099E-2</v>
      </c>
      <c r="T34" s="10">
        <v>1.4148421278093999E-3</v>
      </c>
      <c r="U34" s="10">
        <v>9.9990000999900002E-5</v>
      </c>
      <c r="V34" s="10" t="s">
        <v>20</v>
      </c>
    </row>
    <row r="37" spans="1:22" x14ac:dyDescent="0.25">
      <c r="A37" t="s">
        <v>190</v>
      </c>
      <c r="B37" s="17" t="s">
        <v>6</v>
      </c>
      <c r="C37" s="17" t="s">
        <v>2</v>
      </c>
      <c r="D37" s="17" t="s">
        <v>53</v>
      </c>
      <c r="E37" s="17" t="s">
        <v>3</v>
      </c>
      <c r="F37" s="17" t="s">
        <v>4</v>
      </c>
    </row>
    <row r="38" spans="1:22" ht="30" x14ac:dyDescent="0.25">
      <c r="A38" t="s">
        <v>180</v>
      </c>
      <c r="B38" s="17" t="s">
        <v>201</v>
      </c>
      <c r="C38" s="17" t="s">
        <v>202</v>
      </c>
      <c r="D38" s="17" t="s">
        <v>203</v>
      </c>
      <c r="E38" s="17" t="s">
        <v>204</v>
      </c>
      <c r="F38" s="17" t="s">
        <v>205</v>
      </c>
    </row>
    <row r="39" spans="1:22" ht="30" x14ac:dyDescent="0.25">
      <c r="A39" t="s">
        <v>181</v>
      </c>
      <c r="B39" s="17" t="s">
        <v>206</v>
      </c>
      <c r="C39" s="17" t="s">
        <v>207</v>
      </c>
      <c r="D39" s="17" t="s">
        <v>208</v>
      </c>
      <c r="E39" s="17" t="s">
        <v>209</v>
      </c>
      <c r="F39" s="17" t="s">
        <v>210</v>
      </c>
    </row>
    <row r="40" spans="1:22" ht="30" x14ac:dyDescent="0.25">
      <c r="A40" t="s">
        <v>182</v>
      </c>
      <c r="B40" s="17" t="s">
        <v>211</v>
      </c>
      <c r="C40" s="17" t="s">
        <v>212</v>
      </c>
      <c r="D40" s="17" t="s">
        <v>213</v>
      </c>
      <c r="E40" s="17" t="s">
        <v>214</v>
      </c>
      <c r="F40" s="17" t="s">
        <v>215</v>
      </c>
    </row>
    <row r="41" spans="1:22" ht="30" x14ac:dyDescent="0.25">
      <c r="A41" t="s">
        <v>183</v>
      </c>
      <c r="B41" s="17" t="s">
        <v>216</v>
      </c>
      <c r="C41" s="17" t="s">
        <v>217</v>
      </c>
      <c r="D41" s="17" t="s">
        <v>218</v>
      </c>
      <c r="E41" s="17" t="s">
        <v>219</v>
      </c>
      <c r="F41" s="17" t="s">
        <v>220</v>
      </c>
    </row>
    <row r="42" spans="1:22" ht="30" x14ac:dyDescent="0.25">
      <c r="A42" t="s">
        <v>184</v>
      </c>
      <c r="B42" s="17" t="s">
        <v>221</v>
      </c>
      <c r="C42" s="17" t="s">
        <v>222</v>
      </c>
      <c r="D42" s="17" t="s">
        <v>223</v>
      </c>
      <c r="E42" s="17" t="s">
        <v>224</v>
      </c>
      <c r="F42" s="17" t="s">
        <v>225</v>
      </c>
    </row>
    <row r="43" spans="1:22" ht="30" x14ac:dyDescent="0.25">
      <c r="A43" t="s">
        <v>185</v>
      </c>
      <c r="B43" s="17" t="s">
        <v>226</v>
      </c>
      <c r="C43" s="17" t="s">
        <v>227</v>
      </c>
      <c r="D43" s="17" t="s">
        <v>228</v>
      </c>
      <c r="E43" s="17" t="s">
        <v>229</v>
      </c>
      <c r="F43" s="17" t="s">
        <v>230</v>
      </c>
    </row>
    <row r="44" spans="1:22" ht="30" x14ac:dyDescent="0.25">
      <c r="A44" t="s">
        <v>186</v>
      </c>
      <c r="B44" s="17" t="s">
        <v>231</v>
      </c>
      <c r="C44" s="17" t="s">
        <v>232</v>
      </c>
      <c r="D44" s="17" t="s">
        <v>233</v>
      </c>
      <c r="E44" s="17" t="s">
        <v>234</v>
      </c>
      <c r="F44" s="17" t="s">
        <v>235</v>
      </c>
    </row>
    <row r="45" spans="1:22" ht="30" x14ac:dyDescent="0.25">
      <c r="A45" t="s">
        <v>187</v>
      </c>
      <c r="B45" s="17" t="s">
        <v>236</v>
      </c>
      <c r="C45" s="17" t="s">
        <v>237</v>
      </c>
      <c r="D45" s="17" t="s">
        <v>238</v>
      </c>
      <c r="E45" s="17" t="s">
        <v>239</v>
      </c>
      <c r="F45" s="17" t="s">
        <v>240</v>
      </c>
    </row>
    <row r="46" spans="1:22" ht="30" x14ac:dyDescent="0.25">
      <c r="A46" t="s">
        <v>188</v>
      </c>
      <c r="B46" s="17" t="s">
        <v>241</v>
      </c>
      <c r="C46" s="17" t="s">
        <v>242</v>
      </c>
      <c r="D46" s="17" t="s">
        <v>243</v>
      </c>
      <c r="E46" s="17" t="s">
        <v>244</v>
      </c>
      <c r="F46" s="17" t="s">
        <v>245</v>
      </c>
    </row>
    <row r="47" spans="1:22" ht="30" x14ac:dyDescent="0.25">
      <c r="A47" t="s">
        <v>189</v>
      </c>
      <c r="B47" s="17" t="s">
        <v>246</v>
      </c>
      <c r="C47" s="17" t="s">
        <v>247</v>
      </c>
      <c r="D47" s="17" t="s">
        <v>248</v>
      </c>
      <c r="E47" s="17" t="s">
        <v>249</v>
      </c>
      <c r="F47" s="17" t="s">
        <v>250</v>
      </c>
    </row>
  </sheetData>
  <mergeCells count="13">
    <mergeCell ref="O1:R1"/>
    <mergeCell ref="S1:V1"/>
    <mergeCell ref="A29:B29"/>
    <mergeCell ref="C29:F29"/>
    <mergeCell ref="G29:J29"/>
    <mergeCell ref="K29:N29"/>
    <mergeCell ref="O29:R29"/>
    <mergeCell ref="S29:V29"/>
    <mergeCell ref="A16:B16"/>
    <mergeCell ref="A1:B1"/>
    <mergeCell ref="C1:F1"/>
    <mergeCell ref="G1:J1"/>
    <mergeCell ref="K1:N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4E58-DAD7-4E43-8521-091B878D9302}">
  <dimension ref="A1:X103"/>
  <sheetViews>
    <sheetView zoomScale="85" zoomScaleNormal="85" workbookViewId="0">
      <selection activeCell="AA22" sqref="AA22"/>
    </sheetView>
  </sheetViews>
  <sheetFormatPr defaultRowHeight="15" x14ac:dyDescent="0.25"/>
  <cols>
    <col min="1" max="1" width="12.85546875" customWidth="1"/>
    <col min="2" max="2" width="12.140625" customWidth="1"/>
    <col min="3" max="4" width="4.85546875" customWidth="1"/>
    <col min="5" max="6" width="12.140625" customWidth="1"/>
    <col min="12" max="12" width="9.140625" customWidth="1"/>
    <col min="13" max="16" width="12.140625" customWidth="1"/>
    <col min="17" max="17" width="10.140625" customWidth="1"/>
    <col min="18" max="18" width="9.42578125" customWidth="1"/>
    <col min="19" max="20" width="12.140625" customWidth="1"/>
  </cols>
  <sheetData>
    <row r="1" spans="1:24" s="3" customFormat="1" x14ac:dyDescent="0.25">
      <c r="A1" t="s">
        <v>54</v>
      </c>
      <c r="B1"/>
      <c r="C1"/>
      <c r="D1"/>
      <c r="E1" t="s">
        <v>6</v>
      </c>
      <c r="F1" t="s">
        <v>6</v>
      </c>
      <c r="G1" t="s">
        <v>6</v>
      </c>
      <c r="H1" t="s">
        <v>6</v>
      </c>
      <c r="I1" t="s">
        <v>16</v>
      </c>
      <c r="J1" t="s">
        <v>16</v>
      </c>
      <c r="K1" t="s">
        <v>16</v>
      </c>
      <c r="L1" t="s">
        <v>16</v>
      </c>
      <c r="M1" t="s">
        <v>53</v>
      </c>
      <c r="N1" t="s">
        <v>53</v>
      </c>
      <c r="O1" t="s">
        <v>53</v>
      </c>
      <c r="P1" t="s">
        <v>53</v>
      </c>
      <c r="Q1" t="s">
        <v>3</v>
      </c>
      <c r="R1" t="s">
        <v>3</v>
      </c>
      <c r="S1" t="s">
        <v>3</v>
      </c>
      <c r="T1" t="s">
        <v>3</v>
      </c>
      <c r="U1" t="s">
        <v>55</v>
      </c>
      <c r="V1" t="s">
        <v>55</v>
      </c>
      <c r="W1" t="s">
        <v>55</v>
      </c>
      <c r="X1" t="s">
        <v>55</v>
      </c>
    </row>
    <row r="2" spans="1:24" x14ac:dyDescent="0.25">
      <c r="E2" t="s">
        <v>56</v>
      </c>
      <c r="F2" t="s">
        <v>57</v>
      </c>
      <c r="G2" t="s">
        <v>65</v>
      </c>
      <c r="H2" t="s">
        <v>66</v>
      </c>
      <c r="I2" t="s">
        <v>56</v>
      </c>
      <c r="J2" t="s">
        <v>57</v>
      </c>
      <c r="K2" t="s">
        <v>65</v>
      </c>
      <c r="L2" t="s">
        <v>66</v>
      </c>
      <c r="M2" t="s">
        <v>56</v>
      </c>
      <c r="N2" t="s">
        <v>57</v>
      </c>
      <c r="O2" t="s">
        <v>65</v>
      </c>
      <c r="P2" t="s">
        <v>66</v>
      </c>
      <c r="Q2" t="s">
        <v>56</v>
      </c>
      <c r="R2" t="s">
        <v>57</v>
      </c>
      <c r="S2" t="s">
        <v>65</v>
      </c>
      <c r="T2" t="s">
        <v>66</v>
      </c>
      <c r="U2" t="s">
        <v>56</v>
      </c>
      <c r="V2" t="s">
        <v>57</v>
      </c>
      <c r="W2" t="s">
        <v>65</v>
      </c>
      <c r="X2" t="s">
        <v>66</v>
      </c>
    </row>
    <row r="3" spans="1:24" x14ac:dyDescent="0.25">
      <c r="A3" t="s">
        <v>58</v>
      </c>
      <c r="B3" t="s">
        <v>59</v>
      </c>
      <c r="C3" t="s">
        <v>60</v>
      </c>
      <c r="D3" t="s">
        <v>61</v>
      </c>
    </row>
    <row r="4" spans="1:24" x14ac:dyDescent="0.25">
      <c r="A4" s="1">
        <v>0</v>
      </c>
      <c r="B4" t="s">
        <v>62</v>
      </c>
      <c r="C4">
        <v>3</v>
      </c>
      <c r="D4">
        <v>1</v>
      </c>
      <c r="E4" s="2">
        <v>8.7676755282321495E-2</v>
      </c>
      <c r="F4" s="2">
        <v>1.9996000799839999E-4</v>
      </c>
      <c r="G4" s="2">
        <v>0.16158512191495999</v>
      </c>
      <c r="H4" s="2">
        <v>1.9996000799839999E-4</v>
      </c>
      <c r="I4" s="2">
        <v>0.113955353025107</v>
      </c>
      <c r="J4" s="2">
        <v>1.9996000799839999E-4</v>
      </c>
      <c r="K4" s="2">
        <v>0.16158512191495999</v>
      </c>
      <c r="L4" s="2">
        <v>1.9996000799839999E-4</v>
      </c>
      <c r="M4" s="2">
        <v>0</v>
      </c>
      <c r="N4" s="2">
        <v>1</v>
      </c>
      <c r="O4" s="2">
        <v>0.16158512191495999</v>
      </c>
      <c r="P4" s="2">
        <v>1.9996000799839999E-4</v>
      </c>
      <c r="Q4" s="2">
        <v>3.4091579404783898E-2</v>
      </c>
      <c r="R4" s="2">
        <v>1.9996000799839999E-4</v>
      </c>
      <c r="S4" s="2">
        <v>0.16158512191495999</v>
      </c>
      <c r="T4" s="2">
        <v>1.9996000799839999E-4</v>
      </c>
      <c r="U4" s="2">
        <v>3.86726063792657E-2</v>
      </c>
      <c r="V4" s="2">
        <v>1.9996000799839999E-4</v>
      </c>
      <c r="W4" s="2">
        <v>0.15583075266917101</v>
      </c>
      <c r="X4" s="2">
        <v>1.9996000799839999E-4</v>
      </c>
    </row>
    <row r="5" spans="1:24" x14ac:dyDescent="0.25">
      <c r="A5" s="1">
        <v>0</v>
      </c>
      <c r="B5" t="s">
        <v>62</v>
      </c>
      <c r="C5">
        <v>3</v>
      </c>
      <c r="D5">
        <v>3</v>
      </c>
      <c r="E5" s="2">
        <v>7.77693843608913E-2</v>
      </c>
      <c r="F5" s="2">
        <v>1.9996000799839999E-4</v>
      </c>
      <c r="G5" s="2">
        <v>0.17378132818206801</v>
      </c>
      <c r="H5" s="2">
        <v>1.9996000799839999E-4</v>
      </c>
      <c r="I5" s="2">
        <v>0.12284271858174201</v>
      </c>
      <c r="J5" s="2">
        <v>1.9996000799839999E-4</v>
      </c>
      <c r="K5" s="2">
        <v>0.17378132818206801</v>
      </c>
      <c r="L5" s="2">
        <v>1.9996000799839999E-4</v>
      </c>
      <c r="M5" s="2">
        <v>0</v>
      </c>
      <c r="N5" s="2">
        <v>1</v>
      </c>
      <c r="O5" s="2">
        <v>0.17378132818206801</v>
      </c>
      <c r="P5" s="2">
        <v>1.9996000799839999E-4</v>
      </c>
      <c r="Q5" s="2">
        <v>6.5382835237318304E-2</v>
      </c>
      <c r="R5" s="2">
        <v>1.9996000799839999E-4</v>
      </c>
      <c r="S5" s="2">
        <v>0.17378132818206801</v>
      </c>
      <c r="T5" s="2">
        <v>1.9996000799839999E-4</v>
      </c>
      <c r="U5" s="2">
        <v>2.9818575099068899E-2</v>
      </c>
      <c r="V5" s="2">
        <v>1.9996000799839999E-4</v>
      </c>
      <c r="W5" s="2">
        <v>0.14996881742079299</v>
      </c>
      <c r="X5" s="2">
        <v>1.9996000799839999E-4</v>
      </c>
    </row>
    <row r="6" spans="1:24" x14ac:dyDescent="0.25">
      <c r="A6" s="1">
        <v>0</v>
      </c>
      <c r="B6" t="s">
        <v>62</v>
      </c>
      <c r="C6">
        <v>3</v>
      </c>
      <c r="D6">
        <v>5</v>
      </c>
      <c r="E6" s="2">
        <v>9.6693582279190796E-2</v>
      </c>
      <c r="F6" s="2">
        <v>1.9996000799839999E-4</v>
      </c>
      <c r="G6" s="2">
        <v>0.176377348059573</v>
      </c>
      <c r="H6" s="2">
        <v>1.9996000799839999E-4</v>
      </c>
      <c r="I6" s="2">
        <v>0.124718483099737</v>
      </c>
      <c r="J6" s="2">
        <v>1.9996000799839999E-4</v>
      </c>
      <c r="K6" s="2">
        <v>0.176377348059573</v>
      </c>
      <c r="L6" s="2">
        <v>1.9996000799839999E-4</v>
      </c>
      <c r="M6" s="2">
        <v>0</v>
      </c>
      <c r="N6" s="2">
        <v>1</v>
      </c>
      <c r="O6" s="2">
        <v>0.176377348059573</v>
      </c>
      <c r="P6" s="2">
        <v>1.9996000799839999E-4</v>
      </c>
      <c r="Q6" s="2">
        <v>5.7005933898785499E-2</v>
      </c>
      <c r="R6" s="2">
        <v>1.9996000799839999E-4</v>
      </c>
      <c r="S6" s="2">
        <v>0.176377348059573</v>
      </c>
      <c r="T6" s="2">
        <v>1.9996000799839999E-4</v>
      </c>
      <c r="U6" s="2">
        <v>3.9873790047623099E-2</v>
      </c>
      <c r="V6" s="2">
        <v>1.9996000799839999E-4</v>
      </c>
      <c r="W6" s="2">
        <v>0.149367436180048</v>
      </c>
      <c r="X6" s="2">
        <v>1.9996000799839999E-4</v>
      </c>
    </row>
    <row r="7" spans="1:24" x14ac:dyDescent="0.25">
      <c r="A7" s="1">
        <v>0</v>
      </c>
      <c r="B7" t="s">
        <v>62</v>
      </c>
      <c r="C7">
        <v>3</v>
      </c>
      <c r="D7">
        <v>7</v>
      </c>
      <c r="E7" s="2">
        <v>9.4263475708764505E-2</v>
      </c>
      <c r="F7" s="2">
        <v>1.9996000799839999E-4</v>
      </c>
      <c r="G7" s="2">
        <v>0.172130153034076</v>
      </c>
      <c r="H7" s="2">
        <v>1.9996000799839999E-4</v>
      </c>
      <c r="I7" s="2">
        <v>0.120309821884517</v>
      </c>
      <c r="J7" s="2">
        <v>1.9996000799839999E-4</v>
      </c>
      <c r="K7" s="2">
        <v>0.172130153034076</v>
      </c>
      <c r="L7" s="2">
        <v>1.9996000799839999E-4</v>
      </c>
      <c r="M7" s="2">
        <v>0</v>
      </c>
      <c r="N7" s="2">
        <v>1</v>
      </c>
      <c r="O7" s="2">
        <v>0.172130153034076</v>
      </c>
      <c r="P7" s="2">
        <v>1.9996000799839999E-4</v>
      </c>
      <c r="Q7" s="2">
        <v>5.1115154401705297E-2</v>
      </c>
      <c r="R7" s="2">
        <v>1.9996000799839999E-4</v>
      </c>
      <c r="S7" s="2">
        <v>0.172130153034076</v>
      </c>
      <c r="T7" s="2">
        <v>1.9996000799839999E-4</v>
      </c>
      <c r="U7" s="2">
        <v>6.7948373338194604E-2</v>
      </c>
      <c r="V7" s="2">
        <v>1.9996000799839999E-4</v>
      </c>
      <c r="W7" s="2">
        <v>0.16354253308839201</v>
      </c>
      <c r="X7" s="2">
        <v>1.9996000799839999E-4</v>
      </c>
    </row>
    <row r="8" spans="1:24" x14ac:dyDescent="0.25">
      <c r="A8" s="1">
        <v>0</v>
      </c>
      <c r="B8" t="s">
        <v>62</v>
      </c>
      <c r="C8">
        <v>3</v>
      </c>
      <c r="D8">
        <v>9</v>
      </c>
      <c r="E8" s="2">
        <v>0.100609785572988</v>
      </c>
      <c r="F8" s="2">
        <v>1.9996000799839999E-4</v>
      </c>
      <c r="G8" s="2">
        <v>0.18066118406322201</v>
      </c>
      <c r="H8" s="2">
        <v>1.9996000799839999E-4</v>
      </c>
      <c r="I8" s="2">
        <v>0.127038250647875</v>
      </c>
      <c r="J8" s="2">
        <v>1.9996000799839999E-4</v>
      </c>
      <c r="K8" s="2">
        <v>0.18066118406322201</v>
      </c>
      <c r="L8" s="2">
        <v>1.9996000799839999E-4</v>
      </c>
      <c r="M8" s="2">
        <v>0</v>
      </c>
      <c r="N8" s="2">
        <v>1</v>
      </c>
      <c r="O8" s="2">
        <v>0.18066118406322201</v>
      </c>
      <c r="P8" s="2">
        <v>1.9996000799839999E-4</v>
      </c>
      <c r="Q8" s="2">
        <v>5.3959996044509198E-2</v>
      </c>
      <c r="R8" s="2">
        <v>1.9996000799839999E-4</v>
      </c>
      <c r="S8" s="2">
        <v>0.18066118406322201</v>
      </c>
      <c r="T8" s="2">
        <v>1.9996000799839999E-4</v>
      </c>
      <c r="U8" s="2">
        <v>7.6257864974417E-2</v>
      </c>
      <c r="V8" s="2">
        <v>1.9996000799839999E-4</v>
      </c>
      <c r="W8" s="2">
        <v>0.17360584926762301</v>
      </c>
      <c r="X8" s="2">
        <v>1.9996000799839999E-4</v>
      </c>
    </row>
    <row r="9" spans="1:24" x14ac:dyDescent="0.25">
      <c r="A9" s="1">
        <v>0</v>
      </c>
      <c r="B9" t="s">
        <v>62</v>
      </c>
      <c r="C9">
        <v>5</v>
      </c>
      <c r="D9">
        <v>1</v>
      </c>
      <c r="E9" s="2">
        <v>2.3248667020046201E-2</v>
      </c>
      <c r="F9" s="2">
        <v>1.9996000799839999E-4</v>
      </c>
      <c r="G9" s="2">
        <v>0.119905102848699</v>
      </c>
      <c r="H9" s="2">
        <v>1.9996000799839999E-4</v>
      </c>
      <c r="I9" s="2">
        <v>3.8647363299657102E-2</v>
      </c>
      <c r="J9" s="2">
        <v>1.9996000799839999E-4</v>
      </c>
      <c r="K9" s="2">
        <v>0.119905102848699</v>
      </c>
      <c r="L9" s="2">
        <v>1.9996000799839999E-4</v>
      </c>
      <c r="M9" s="2">
        <v>0</v>
      </c>
      <c r="N9" s="2">
        <v>1</v>
      </c>
      <c r="O9" s="2">
        <v>0.119905102848699</v>
      </c>
      <c r="P9" s="2">
        <v>1.9996000799839999E-4</v>
      </c>
      <c r="Q9" s="2">
        <v>7.73795543952253E-2</v>
      </c>
      <c r="R9" s="2">
        <v>1.9996000799839999E-4</v>
      </c>
      <c r="S9" s="2">
        <v>0.119905102848699</v>
      </c>
      <c r="T9" s="2">
        <v>1.9996000799839999E-4</v>
      </c>
      <c r="U9" s="2">
        <v>2.9142138511339798E-2</v>
      </c>
      <c r="V9" s="2">
        <v>1.9996000799839999E-4</v>
      </c>
      <c r="W9" s="2">
        <v>0.110436194777229</v>
      </c>
      <c r="X9" s="2">
        <v>1.9996000799839999E-4</v>
      </c>
    </row>
    <row r="10" spans="1:24" x14ac:dyDescent="0.25">
      <c r="A10" s="1">
        <v>0</v>
      </c>
      <c r="B10" t="s">
        <v>62</v>
      </c>
      <c r="C10">
        <v>5</v>
      </c>
      <c r="D10">
        <v>3</v>
      </c>
      <c r="E10" s="2">
        <v>3.5062769043076598E-2</v>
      </c>
      <c r="F10" s="2">
        <v>1.9996000799839999E-4</v>
      </c>
      <c r="G10" s="2">
        <v>0.13849339096647201</v>
      </c>
      <c r="H10" s="2">
        <v>1.9996000799839999E-4</v>
      </c>
      <c r="I10" s="2">
        <v>5.4527374763105901E-2</v>
      </c>
      <c r="J10" s="2">
        <v>1.9996000799839999E-4</v>
      </c>
      <c r="K10" s="2">
        <v>0.13849339096647201</v>
      </c>
      <c r="L10" s="2">
        <v>1.9996000799839999E-4</v>
      </c>
      <c r="M10" s="2">
        <v>0</v>
      </c>
      <c r="N10" s="2">
        <v>1</v>
      </c>
      <c r="O10" s="2">
        <v>0.13849339096647201</v>
      </c>
      <c r="P10" s="2">
        <v>1.9996000799839999E-4</v>
      </c>
      <c r="Q10" s="2">
        <v>4.7163617294003299E-2</v>
      </c>
      <c r="R10" s="2">
        <v>1.9996000799839999E-4</v>
      </c>
      <c r="S10" s="2">
        <v>0.13849339096647201</v>
      </c>
      <c r="T10" s="2">
        <v>1.9996000799839999E-4</v>
      </c>
      <c r="U10" s="2">
        <v>3.7783366860823897E-2</v>
      </c>
      <c r="V10" s="2">
        <v>1.9996000799839999E-4</v>
      </c>
      <c r="W10" s="2">
        <v>0.13620394125097901</v>
      </c>
      <c r="X10" s="2">
        <v>1.9996000799839999E-4</v>
      </c>
    </row>
    <row r="11" spans="1:24" x14ac:dyDescent="0.25">
      <c r="A11" s="1">
        <v>0</v>
      </c>
      <c r="B11" t="s">
        <v>62</v>
      </c>
      <c r="C11">
        <v>5</v>
      </c>
      <c r="D11">
        <v>5</v>
      </c>
      <c r="E11" s="2">
        <v>6.4480606183299205E-2</v>
      </c>
      <c r="F11" s="2">
        <v>1.9996000799839999E-4</v>
      </c>
      <c r="G11" s="2">
        <v>0.162180680144452</v>
      </c>
      <c r="H11" s="2">
        <v>1.9996000799839999E-4</v>
      </c>
      <c r="I11" s="2">
        <v>7.1516036572108505E-2</v>
      </c>
      <c r="J11" s="2">
        <v>1.9996000799839999E-4</v>
      </c>
      <c r="K11" s="2">
        <v>0.162180680144452</v>
      </c>
      <c r="L11" s="2">
        <v>1.9996000799839999E-4</v>
      </c>
      <c r="M11" s="2">
        <v>0</v>
      </c>
      <c r="N11" s="2">
        <v>1</v>
      </c>
      <c r="O11" s="2">
        <v>0.162180680144452</v>
      </c>
      <c r="P11" s="2">
        <v>1.9996000799839999E-4</v>
      </c>
      <c r="Q11" s="2">
        <v>7.3277222827945895E-2</v>
      </c>
      <c r="R11" s="2">
        <v>1.9996000799839999E-4</v>
      </c>
      <c r="S11" s="2">
        <v>0.162180680144452</v>
      </c>
      <c r="T11" s="2">
        <v>1.9996000799839999E-4</v>
      </c>
      <c r="U11" s="2">
        <v>4.0294209225190399E-2</v>
      </c>
      <c r="V11" s="2">
        <v>1.9996000799839999E-4</v>
      </c>
      <c r="W11" s="2">
        <v>0.13329314901720701</v>
      </c>
      <c r="X11" s="2">
        <v>1.9996000799839999E-4</v>
      </c>
    </row>
    <row r="12" spans="1:24" x14ac:dyDescent="0.25">
      <c r="A12" s="1">
        <v>0</v>
      </c>
      <c r="B12" t="s">
        <v>62</v>
      </c>
      <c r="C12">
        <v>5</v>
      </c>
      <c r="D12">
        <v>7</v>
      </c>
      <c r="E12" s="2">
        <v>5.5182036867363102E-2</v>
      </c>
      <c r="F12" s="2">
        <v>1.9996000799839999E-4</v>
      </c>
      <c r="G12" s="2">
        <v>0.156244953282488</v>
      </c>
      <c r="H12" s="2">
        <v>1.9996000799839999E-4</v>
      </c>
      <c r="I12" s="2">
        <v>7.6644898391083502E-2</v>
      </c>
      <c r="J12" s="2">
        <v>1.9996000799839999E-4</v>
      </c>
      <c r="K12" s="2">
        <v>0.156244953282488</v>
      </c>
      <c r="L12" s="2">
        <v>1.9996000799839999E-4</v>
      </c>
      <c r="M12" s="2">
        <v>0</v>
      </c>
      <c r="N12" s="2">
        <v>1</v>
      </c>
      <c r="O12" s="2">
        <v>0.156244953282488</v>
      </c>
      <c r="P12" s="2">
        <v>1.9996000799839999E-4</v>
      </c>
      <c r="Q12" s="2">
        <v>5.8950310823544301E-2</v>
      </c>
      <c r="R12" s="2">
        <v>1.9996000799839999E-4</v>
      </c>
      <c r="S12" s="2">
        <v>0.156244953282488</v>
      </c>
      <c r="T12" s="2">
        <v>1.9996000799839999E-4</v>
      </c>
      <c r="U12" s="2">
        <v>4.2603499898499098E-2</v>
      </c>
      <c r="V12" s="2">
        <v>1.9996000799839999E-4</v>
      </c>
      <c r="W12" s="2">
        <v>0.14649067804841501</v>
      </c>
      <c r="X12" s="2">
        <v>1.9996000799839999E-4</v>
      </c>
    </row>
    <row r="13" spans="1:24" x14ac:dyDescent="0.25">
      <c r="A13" s="1">
        <v>0</v>
      </c>
      <c r="B13" t="s">
        <v>62</v>
      </c>
      <c r="C13">
        <v>5</v>
      </c>
      <c r="D13">
        <v>9</v>
      </c>
      <c r="E13" s="2">
        <v>6.0985650129984199E-2</v>
      </c>
      <c r="F13" s="2">
        <v>1.9996000799839999E-4</v>
      </c>
      <c r="G13" s="2">
        <v>0.16423668256448501</v>
      </c>
      <c r="H13" s="2">
        <v>1.9996000799839999E-4</v>
      </c>
      <c r="I13" s="2">
        <v>6.9891902170877096E-2</v>
      </c>
      <c r="J13" s="2">
        <v>1.9996000799839999E-4</v>
      </c>
      <c r="K13" s="2">
        <v>0.16423668256448501</v>
      </c>
      <c r="L13" s="2">
        <v>1.9996000799839999E-4</v>
      </c>
      <c r="M13" s="2">
        <v>0</v>
      </c>
      <c r="N13" s="2">
        <v>1</v>
      </c>
      <c r="O13" s="2">
        <v>0.16423668256448501</v>
      </c>
      <c r="P13" s="2">
        <v>1.9996000799839999E-4</v>
      </c>
      <c r="Q13" s="2">
        <v>7.2188496324768994E-2</v>
      </c>
      <c r="R13" s="2">
        <v>1.9996000799839999E-4</v>
      </c>
      <c r="S13" s="2">
        <v>0.16423668256448501</v>
      </c>
      <c r="T13" s="2">
        <v>1.9996000799839999E-4</v>
      </c>
      <c r="U13" s="2">
        <v>4.4437416919102898E-2</v>
      </c>
      <c r="V13" s="2">
        <v>1.9996000799839999E-4</v>
      </c>
      <c r="W13" s="2">
        <v>0.153377594669899</v>
      </c>
      <c r="X13" s="2">
        <v>1.9996000799839999E-4</v>
      </c>
    </row>
    <row r="14" spans="1:24" x14ac:dyDescent="0.25">
      <c r="A14" s="1">
        <v>0</v>
      </c>
      <c r="B14" t="s">
        <v>63</v>
      </c>
      <c r="C14">
        <v>3</v>
      </c>
      <c r="D14">
        <v>1</v>
      </c>
      <c r="E14" s="2">
        <v>0.11154502769167</v>
      </c>
      <c r="F14" s="2">
        <v>1.9996000799839999E-4</v>
      </c>
      <c r="G14" s="2">
        <v>0.178759872847817</v>
      </c>
      <c r="H14" s="2">
        <v>1.9996000799839999E-4</v>
      </c>
      <c r="I14" s="2">
        <v>0.138780914707164</v>
      </c>
      <c r="J14" s="2">
        <v>1.9996000799839999E-4</v>
      </c>
      <c r="K14" s="2">
        <v>0.178759872847817</v>
      </c>
      <c r="L14" s="2">
        <v>1.9996000799839999E-4</v>
      </c>
      <c r="M14" s="2">
        <v>0.1223982570682</v>
      </c>
      <c r="N14" s="2">
        <v>4.7790441911617597E-2</v>
      </c>
      <c r="O14" s="2">
        <v>0.178759872847817</v>
      </c>
      <c r="P14" s="2">
        <v>1.9996000799839999E-4</v>
      </c>
      <c r="Q14" s="2">
        <v>5.6144325139542497E-2</v>
      </c>
      <c r="R14" s="2">
        <v>1.9996000799839999E-4</v>
      </c>
      <c r="S14" s="2">
        <v>0.178759872847817</v>
      </c>
      <c r="T14" s="2">
        <v>1.9996000799839999E-4</v>
      </c>
      <c r="U14" s="2">
        <v>6.08213371285002E-2</v>
      </c>
      <c r="V14" s="2">
        <v>4.7790441911617597E-2</v>
      </c>
      <c r="W14" s="2">
        <v>0.14799268257013901</v>
      </c>
      <c r="X14" s="2">
        <v>1.9996000799839999E-4</v>
      </c>
    </row>
    <row r="15" spans="1:24" x14ac:dyDescent="0.25">
      <c r="A15" s="1">
        <v>0</v>
      </c>
      <c r="B15" t="s">
        <v>63</v>
      </c>
      <c r="C15">
        <v>3</v>
      </c>
      <c r="D15">
        <v>3</v>
      </c>
      <c r="E15" s="2">
        <v>0.1095596869255</v>
      </c>
      <c r="F15" s="2">
        <v>1.9996000799839999E-4</v>
      </c>
      <c r="G15" s="2">
        <v>0.177530449368418</v>
      </c>
      <c r="H15" s="2">
        <v>1.9996000799839999E-4</v>
      </c>
      <c r="I15" s="2">
        <v>0.14070949958992299</v>
      </c>
      <c r="J15" s="2">
        <v>1.9996000799839999E-4</v>
      </c>
      <c r="K15" s="2">
        <v>0.177530449368418</v>
      </c>
      <c r="L15" s="2">
        <v>1.9996000799839999E-4</v>
      </c>
      <c r="M15" s="2">
        <v>0</v>
      </c>
      <c r="N15" s="2">
        <v>1</v>
      </c>
      <c r="O15" s="2">
        <v>0.177530449368418</v>
      </c>
      <c r="P15" s="2">
        <v>1.9996000799839999E-4</v>
      </c>
      <c r="Q15" s="2">
        <v>6.2938894262362696E-2</v>
      </c>
      <c r="R15" s="2">
        <v>1.9996000799839999E-4</v>
      </c>
      <c r="S15" s="2">
        <v>0.177530449368418</v>
      </c>
      <c r="T15" s="2">
        <v>1.9996000799839999E-4</v>
      </c>
      <c r="U15" s="2">
        <v>0.13365501538647301</v>
      </c>
      <c r="V15" s="2">
        <v>1.9996000799839999E-4</v>
      </c>
      <c r="W15" s="2">
        <v>0.20874172224441101</v>
      </c>
      <c r="X15" s="2">
        <v>1.9996000799839999E-4</v>
      </c>
    </row>
    <row r="16" spans="1:24" x14ac:dyDescent="0.25">
      <c r="A16" s="1">
        <v>0</v>
      </c>
      <c r="B16" t="s">
        <v>63</v>
      </c>
      <c r="C16">
        <v>3</v>
      </c>
      <c r="D16">
        <v>5</v>
      </c>
      <c r="E16" s="2">
        <v>0.17519311958550801</v>
      </c>
      <c r="F16" s="2">
        <v>1.9996000799839999E-4</v>
      </c>
      <c r="G16" s="2">
        <v>0.23466567584871401</v>
      </c>
      <c r="H16" s="2">
        <v>1.9996000799839999E-4</v>
      </c>
      <c r="I16" s="2">
        <v>0.19152571493877599</v>
      </c>
      <c r="J16" s="2">
        <v>1.9996000799839999E-4</v>
      </c>
      <c r="K16" s="2">
        <v>0.23466567584871401</v>
      </c>
      <c r="L16" s="2">
        <v>1.9996000799839999E-4</v>
      </c>
      <c r="M16" s="2">
        <v>0.21592900067692</v>
      </c>
      <c r="N16" s="2">
        <v>1.9996000799839999E-4</v>
      </c>
      <c r="O16" s="2">
        <v>0.23466567584871401</v>
      </c>
      <c r="P16" s="2">
        <v>1.9996000799839999E-4</v>
      </c>
      <c r="Q16" s="2">
        <v>6.9616673438658502E-2</v>
      </c>
      <c r="R16" s="2">
        <v>1.9996000799839999E-4</v>
      </c>
      <c r="S16" s="2">
        <v>0.23466567584871401</v>
      </c>
      <c r="T16" s="2">
        <v>1.9996000799839999E-4</v>
      </c>
      <c r="U16" s="2">
        <v>0.144016116658744</v>
      </c>
      <c r="V16" s="2">
        <v>1.9996000799839999E-4</v>
      </c>
      <c r="W16" s="2">
        <v>0.22563070928382301</v>
      </c>
      <c r="X16" s="2">
        <v>1.9996000799839999E-4</v>
      </c>
    </row>
    <row r="17" spans="1:24" x14ac:dyDescent="0.25">
      <c r="A17" s="1">
        <v>0</v>
      </c>
      <c r="B17" t="s">
        <v>63</v>
      </c>
      <c r="C17">
        <v>3</v>
      </c>
      <c r="D17">
        <v>7</v>
      </c>
      <c r="E17" s="2">
        <v>0.167981348831899</v>
      </c>
      <c r="F17" s="2">
        <v>1.9996000799839999E-4</v>
      </c>
      <c r="G17" s="2">
        <v>0.23017244659697</v>
      </c>
      <c r="H17" s="2">
        <v>1.9996000799839999E-4</v>
      </c>
      <c r="I17" s="2">
        <v>0.17622217175778401</v>
      </c>
      <c r="J17" s="2">
        <v>1.9996000799839999E-4</v>
      </c>
      <c r="K17" s="2">
        <v>0.23017244659697</v>
      </c>
      <c r="L17" s="2">
        <v>1.9996000799839999E-4</v>
      </c>
      <c r="M17" s="2">
        <v>0.18879353802500701</v>
      </c>
      <c r="N17" s="2">
        <v>5.1989602079584002E-2</v>
      </c>
      <c r="O17" s="2">
        <v>0.23017244659697</v>
      </c>
      <c r="P17" s="2">
        <v>1.9996000799839999E-4</v>
      </c>
      <c r="Q17" s="2">
        <v>6.7884648819650506E-2</v>
      </c>
      <c r="R17" s="2">
        <v>1.9996000799839999E-4</v>
      </c>
      <c r="S17" s="2">
        <v>0.23017244659697</v>
      </c>
      <c r="T17" s="2">
        <v>1.9996000799839999E-4</v>
      </c>
      <c r="U17" s="2">
        <v>0.13845389617864201</v>
      </c>
      <c r="V17" s="2">
        <v>1.9996000799839999E-4</v>
      </c>
      <c r="W17" s="2">
        <v>0.21872900511649601</v>
      </c>
      <c r="X17" s="2">
        <v>1.9996000799839999E-4</v>
      </c>
    </row>
    <row r="18" spans="1:24" x14ac:dyDescent="0.25">
      <c r="A18" s="1">
        <v>0</v>
      </c>
      <c r="B18" t="s">
        <v>63</v>
      </c>
      <c r="C18">
        <v>3</v>
      </c>
      <c r="D18">
        <v>9</v>
      </c>
      <c r="E18" s="2">
        <v>0.156654976054735</v>
      </c>
      <c r="F18" s="2">
        <v>1.9996000799839999E-4</v>
      </c>
      <c r="G18" s="2">
        <v>0.225734738158613</v>
      </c>
      <c r="H18" s="2">
        <v>1.9996000799839999E-4</v>
      </c>
      <c r="I18" s="2">
        <v>0.18358777213088301</v>
      </c>
      <c r="J18" s="2">
        <v>1.9996000799839999E-4</v>
      </c>
      <c r="K18" s="2">
        <v>0.225734738158613</v>
      </c>
      <c r="L18" s="2">
        <v>1.9996000799839999E-4</v>
      </c>
      <c r="M18" s="2">
        <v>0.121532231664416</v>
      </c>
      <c r="N18" s="2">
        <v>0.62207558488302295</v>
      </c>
      <c r="O18" s="2">
        <v>0.225734738158613</v>
      </c>
      <c r="P18" s="2">
        <v>1.9996000799839999E-4</v>
      </c>
      <c r="Q18" s="2">
        <v>6.1321980424659701E-2</v>
      </c>
      <c r="R18" s="2">
        <v>1.9996000799839999E-4</v>
      </c>
      <c r="S18" s="2">
        <v>0.225734738158613</v>
      </c>
      <c r="T18" s="2">
        <v>1.9996000799839999E-4</v>
      </c>
      <c r="U18" s="2">
        <v>0.183066599810049</v>
      </c>
      <c r="V18" s="2">
        <v>1.9996000799839999E-4</v>
      </c>
      <c r="W18" s="2">
        <v>0.24693665656055</v>
      </c>
      <c r="X18" s="2">
        <v>1.9996000799839999E-4</v>
      </c>
    </row>
    <row r="19" spans="1:24" x14ac:dyDescent="0.25">
      <c r="A19" s="1">
        <v>0</v>
      </c>
      <c r="B19" t="s">
        <v>63</v>
      </c>
      <c r="C19">
        <v>5</v>
      </c>
      <c r="D19">
        <v>1</v>
      </c>
      <c r="E19" s="2">
        <v>8.2340394034365494E-2</v>
      </c>
      <c r="F19" s="2">
        <v>1.9996000799839999E-4</v>
      </c>
      <c r="G19" s="2">
        <v>0.150563529554921</v>
      </c>
      <c r="H19" s="2">
        <v>1.9996000799839999E-4</v>
      </c>
      <c r="I19" s="2">
        <v>8.4359747800616197E-2</v>
      </c>
      <c r="J19" s="2">
        <v>1.9996000799839999E-4</v>
      </c>
      <c r="K19" s="2">
        <v>0.150563529554921</v>
      </c>
      <c r="L19" s="2">
        <v>1.9996000799839999E-4</v>
      </c>
      <c r="M19" s="2">
        <v>9.4138461852741107E-2</v>
      </c>
      <c r="N19" s="2">
        <v>0.63287342531493695</v>
      </c>
      <c r="O19" s="2">
        <v>0.150563529554921</v>
      </c>
      <c r="P19" s="2">
        <v>1.9996000799839999E-4</v>
      </c>
      <c r="Q19" s="2">
        <v>0.10923866632710701</v>
      </c>
      <c r="R19" s="2">
        <v>1.9996000799839999E-4</v>
      </c>
      <c r="S19" s="2">
        <v>0.150563529554921</v>
      </c>
      <c r="T19" s="2">
        <v>1.9996000799839999E-4</v>
      </c>
      <c r="U19" s="2">
        <v>0.120448591189097</v>
      </c>
      <c r="V19" s="2">
        <v>1.9996000799839999E-4</v>
      </c>
      <c r="W19" s="2">
        <v>0.19272719581549499</v>
      </c>
      <c r="X19" s="2">
        <v>1.9996000799839999E-4</v>
      </c>
    </row>
    <row r="20" spans="1:24" x14ac:dyDescent="0.25">
      <c r="A20" s="1">
        <v>0</v>
      </c>
      <c r="B20" t="s">
        <v>63</v>
      </c>
      <c r="C20">
        <v>5</v>
      </c>
      <c r="D20">
        <v>3</v>
      </c>
      <c r="E20" s="2">
        <v>8.9374016401792294E-2</v>
      </c>
      <c r="F20" s="2">
        <v>1.9996000799839999E-4</v>
      </c>
      <c r="G20" s="2">
        <v>0.16795844538204699</v>
      </c>
      <c r="H20" s="2">
        <v>1.9996000799839999E-4</v>
      </c>
      <c r="I20" s="2">
        <v>0.106351408781356</v>
      </c>
      <c r="J20" s="2">
        <v>1.9996000799839999E-4</v>
      </c>
      <c r="K20" s="2">
        <v>0.16795844538204699</v>
      </c>
      <c r="L20" s="2">
        <v>1.9996000799839999E-4</v>
      </c>
      <c r="M20" s="2">
        <v>9.4138461852741107E-2</v>
      </c>
      <c r="N20" s="2">
        <v>0.63287342531493695</v>
      </c>
      <c r="O20" s="2">
        <v>0.16795844538204699</v>
      </c>
      <c r="P20" s="2">
        <v>1.9996000799839999E-4</v>
      </c>
      <c r="Q20" s="2">
        <v>8.9486675664144602E-2</v>
      </c>
      <c r="R20" s="2">
        <v>1.9996000799839999E-4</v>
      </c>
      <c r="S20" s="2">
        <v>0.16795844538204699</v>
      </c>
      <c r="T20" s="2">
        <v>1.9996000799839999E-4</v>
      </c>
      <c r="U20" s="2">
        <v>0.114524730643481</v>
      </c>
      <c r="V20" s="2">
        <v>1.9996000799839999E-4</v>
      </c>
      <c r="W20" s="2">
        <v>0.22104390895485801</v>
      </c>
      <c r="X20" s="2">
        <v>1.9996000799839999E-4</v>
      </c>
    </row>
    <row r="21" spans="1:24" x14ac:dyDescent="0.25">
      <c r="A21" s="1">
        <v>0</v>
      </c>
      <c r="B21" t="s">
        <v>63</v>
      </c>
      <c r="C21">
        <v>5</v>
      </c>
      <c r="D21">
        <v>5</v>
      </c>
      <c r="E21" s="2">
        <v>0.11752107911201901</v>
      </c>
      <c r="F21" s="2">
        <v>1.9996000799839999E-4</v>
      </c>
      <c r="G21" s="2">
        <v>0.19747250501894401</v>
      </c>
      <c r="H21" s="2">
        <v>1.9996000799839999E-4</v>
      </c>
      <c r="I21" s="2">
        <v>0.123126361987446</v>
      </c>
      <c r="J21" s="2">
        <v>1.9996000799839999E-4</v>
      </c>
      <c r="K21" s="2">
        <v>0.19747250501894401</v>
      </c>
      <c r="L21" s="2">
        <v>1.9996000799839999E-4</v>
      </c>
      <c r="M21" s="2">
        <v>0.18827692370548199</v>
      </c>
      <c r="N21" s="2">
        <v>1.9996000799839999E-4</v>
      </c>
      <c r="O21" s="2">
        <v>0.19747250501894401</v>
      </c>
      <c r="P21" s="2">
        <v>1.9996000799839999E-4</v>
      </c>
      <c r="Q21" s="2">
        <v>0.108152884748046</v>
      </c>
      <c r="R21" s="2">
        <v>1.9996000799839999E-4</v>
      </c>
      <c r="S21" s="2">
        <v>0.19747250501894401</v>
      </c>
      <c r="T21" s="2">
        <v>1.9996000799839999E-4</v>
      </c>
      <c r="U21" s="2">
        <v>9.1394223954017306E-2</v>
      </c>
      <c r="V21" s="2">
        <v>1.9996000799839999E-4</v>
      </c>
      <c r="W21" s="2">
        <v>0.18497357475375101</v>
      </c>
      <c r="X21" s="2">
        <v>1.9996000799839999E-4</v>
      </c>
    </row>
    <row r="22" spans="1:24" x14ac:dyDescent="0.25">
      <c r="A22" s="1">
        <v>0</v>
      </c>
      <c r="B22" t="s">
        <v>63</v>
      </c>
      <c r="C22">
        <v>5</v>
      </c>
      <c r="D22">
        <v>7</v>
      </c>
      <c r="E22" s="2">
        <v>0.123603753998151</v>
      </c>
      <c r="F22" s="2">
        <v>1.9996000799839999E-4</v>
      </c>
      <c r="G22" s="2">
        <v>0.209171577353779</v>
      </c>
      <c r="H22" s="2">
        <v>1.9996000799839999E-4</v>
      </c>
      <c r="I22" s="2">
        <v>0.13678424170911199</v>
      </c>
      <c r="J22" s="2">
        <v>1.9996000799839999E-4</v>
      </c>
      <c r="K22" s="2">
        <v>0.209171577353779</v>
      </c>
      <c r="L22" s="2">
        <v>1.9996000799839999E-4</v>
      </c>
      <c r="M22" s="2">
        <v>0.18827692370548199</v>
      </c>
      <c r="N22" s="2">
        <v>1.9996000799839999E-4</v>
      </c>
      <c r="O22" s="2">
        <v>0.209171577353779</v>
      </c>
      <c r="P22" s="2">
        <v>1.9996000799839999E-4</v>
      </c>
      <c r="Q22" s="2">
        <v>0.117810891403356</v>
      </c>
      <c r="R22" s="2">
        <v>1.9996000799839999E-4</v>
      </c>
      <c r="S22" s="2">
        <v>0.209171577353779</v>
      </c>
      <c r="T22" s="2">
        <v>1.9996000799839999E-4</v>
      </c>
      <c r="U22" s="2">
        <v>0.124054268077413</v>
      </c>
      <c r="V22" s="2">
        <v>1.9996000799839999E-4</v>
      </c>
      <c r="W22" s="2">
        <v>0.19829843664524699</v>
      </c>
      <c r="X22" s="2">
        <v>1.9996000799839999E-4</v>
      </c>
    </row>
    <row r="23" spans="1:24" x14ac:dyDescent="0.25">
      <c r="A23" s="1">
        <v>0</v>
      </c>
      <c r="B23" t="s">
        <v>63</v>
      </c>
      <c r="C23">
        <v>5</v>
      </c>
      <c r="D23">
        <v>9</v>
      </c>
      <c r="E23" s="2">
        <v>0.12865503792518901</v>
      </c>
      <c r="F23" s="2">
        <v>1.9996000799839999E-4</v>
      </c>
      <c r="G23" s="2">
        <v>0.222615407573446</v>
      </c>
      <c r="H23" s="2">
        <v>1.9996000799839999E-4</v>
      </c>
      <c r="I23" s="2">
        <v>0.147495944672971</v>
      </c>
      <c r="J23" s="2">
        <v>1.9996000799839999E-4</v>
      </c>
      <c r="K23" s="2">
        <v>0.222615407573446</v>
      </c>
      <c r="L23" s="2">
        <v>1.9996000799839999E-4</v>
      </c>
      <c r="M23" s="2">
        <v>9.4138461852741107E-2</v>
      </c>
      <c r="N23" s="2">
        <v>0.61947610477904402</v>
      </c>
      <c r="O23" s="2">
        <v>0.222615407573446</v>
      </c>
      <c r="P23" s="2">
        <v>1.9996000799839999E-4</v>
      </c>
      <c r="Q23" s="2">
        <v>0.106446858068553</v>
      </c>
      <c r="R23" s="2">
        <v>1.9996000799839999E-4</v>
      </c>
      <c r="S23" s="2">
        <v>0.222615407573446</v>
      </c>
      <c r="T23" s="2">
        <v>1.9996000799839999E-4</v>
      </c>
      <c r="U23" s="2">
        <v>0.142955293062906</v>
      </c>
      <c r="V23" s="2">
        <v>1.9996000799839999E-4</v>
      </c>
      <c r="W23" s="2">
        <v>0.24489423889256801</v>
      </c>
      <c r="X23" s="2">
        <v>1.9996000799839999E-4</v>
      </c>
    </row>
    <row r="24" spans="1:24" x14ac:dyDescent="0.25">
      <c r="A24" s="1">
        <v>0.25</v>
      </c>
      <c r="B24" t="s">
        <v>62</v>
      </c>
      <c r="C24">
        <v>3</v>
      </c>
      <c r="D24">
        <v>1</v>
      </c>
      <c r="E24" s="2">
        <v>8.2469107835391006E-2</v>
      </c>
      <c r="F24" s="2">
        <v>1.9996000799839999E-4</v>
      </c>
      <c r="G24" s="2">
        <v>0.16158512191495999</v>
      </c>
      <c r="H24" s="2">
        <v>1.9996000799839999E-4</v>
      </c>
      <c r="I24" s="2">
        <v>0.11296126397421601</v>
      </c>
      <c r="J24" s="2">
        <v>1.9996000799839999E-4</v>
      </c>
      <c r="K24" s="2">
        <v>0.16158512191495999</v>
      </c>
      <c r="L24" s="2">
        <v>1.9996000799839999E-4</v>
      </c>
      <c r="M24" s="2">
        <v>0</v>
      </c>
      <c r="N24" s="2">
        <v>1</v>
      </c>
      <c r="O24" s="2">
        <v>0.16158512191495999</v>
      </c>
      <c r="P24" s="2">
        <v>1.9996000799839999E-4</v>
      </c>
      <c r="Q24" s="2">
        <v>0.111165349425682</v>
      </c>
      <c r="R24" s="2">
        <v>1.9996000799839999E-4</v>
      </c>
      <c r="S24" s="2">
        <v>0.16158512191495999</v>
      </c>
      <c r="T24" s="2">
        <v>1.9996000799839999E-4</v>
      </c>
      <c r="U24" s="2">
        <v>6.6005828672006495E-2</v>
      </c>
      <c r="V24" s="2">
        <v>1.9996000799839999E-4</v>
      </c>
      <c r="W24" s="2">
        <v>0.15583075266917101</v>
      </c>
      <c r="X24" s="2">
        <v>1.9996000799839999E-4</v>
      </c>
    </row>
    <row r="25" spans="1:24" x14ac:dyDescent="0.25">
      <c r="A25" s="1">
        <v>0.25</v>
      </c>
      <c r="B25" t="s">
        <v>62</v>
      </c>
      <c r="C25">
        <v>3</v>
      </c>
      <c r="D25">
        <v>3</v>
      </c>
      <c r="E25" s="2">
        <v>0.10021106044450501</v>
      </c>
      <c r="F25" s="2">
        <v>1.9996000799839999E-4</v>
      </c>
      <c r="G25" s="2">
        <v>0.17378132818206801</v>
      </c>
      <c r="H25" s="2">
        <v>1.9996000799839999E-4</v>
      </c>
      <c r="I25" s="2">
        <v>0.12976864347547401</v>
      </c>
      <c r="J25" s="2">
        <v>1.9996000799839999E-4</v>
      </c>
      <c r="K25" s="2">
        <v>0.17378132818206801</v>
      </c>
      <c r="L25" s="2">
        <v>1.9996000799839999E-4</v>
      </c>
      <c r="M25" s="2">
        <v>0</v>
      </c>
      <c r="N25" s="2">
        <v>1</v>
      </c>
      <c r="O25" s="2">
        <v>0.17378132818206801</v>
      </c>
      <c r="P25" s="2">
        <v>1.9996000799839999E-4</v>
      </c>
      <c r="Q25" s="2">
        <v>8.0620602427063204E-2</v>
      </c>
      <c r="R25" s="2">
        <v>1.9996000799839999E-4</v>
      </c>
      <c r="S25" s="2">
        <v>0.17378132818206801</v>
      </c>
      <c r="T25" s="2">
        <v>1.9996000799839999E-4</v>
      </c>
      <c r="U25" s="2">
        <v>6.4636652234361103E-2</v>
      </c>
      <c r="V25" s="2">
        <v>1.9996000799839999E-4</v>
      </c>
      <c r="W25" s="2">
        <v>0.14996881742079299</v>
      </c>
      <c r="X25" s="2">
        <v>1.9996000799839999E-4</v>
      </c>
    </row>
    <row r="26" spans="1:24" x14ac:dyDescent="0.25">
      <c r="A26" s="1">
        <v>0.25</v>
      </c>
      <c r="B26" t="s">
        <v>62</v>
      </c>
      <c r="C26">
        <v>3</v>
      </c>
      <c r="D26">
        <v>5</v>
      </c>
      <c r="E26" s="2">
        <v>0.10378522897558801</v>
      </c>
      <c r="F26" s="2">
        <v>1.9996000799839999E-4</v>
      </c>
      <c r="G26" s="2">
        <v>0.176377348059573</v>
      </c>
      <c r="H26" s="2">
        <v>1.9996000799839999E-4</v>
      </c>
      <c r="I26" s="2">
        <v>0.12834383248213399</v>
      </c>
      <c r="J26" s="2">
        <v>1.9996000799839999E-4</v>
      </c>
      <c r="K26" s="2">
        <v>0.176377348059573</v>
      </c>
      <c r="L26" s="2">
        <v>1.9996000799839999E-4</v>
      </c>
      <c r="M26" s="2">
        <v>0</v>
      </c>
      <c r="N26" s="2">
        <v>1</v>
      </c>
      <c r="O26" s="2">
        <v>0.176377348059573</v>
      </c>
      <c r="P26" s="2">
        <v>1.9996000799839999E-4</v>
      </c>
      <c r="Q26" s="2">
        <v>0.124640973247791</v>
      </c>
      <c r="R26" s="2">
        <v>1.9996000799839999E-4</v>
      </c>
      <c r="S26" s="2">
        <v>0.176377348059573</v>
      </c>
      <c r="T26" s="2">
        <v>1.9996000799839999E-4</v>
      </c>
      <c r="U26" s="2">
        <v>6.6838505912347204E-2</v>
      </c>
      <c r="V26" s="2">
        <v>1.9996000799839999E-4</v>
      </c>
      <c r="W26" s="2">
        <v>0.149367436180048</v>
      </c>
      <c r="X26" s="2">
        <v>1.9996000799839999E-4</v>
      </c>
    </row>
    <row r="27" spans="1:24" x14ac:dyDescent="0.25">
      <c r="A27" s="1">
        <v>0.25</v>
      </c>
      <c r="B27" t="s">
        <v>62</v>
      </c>
      <c r="C27">
        <v>3</v>
      </c>
      <c r="D27">
        <v>7</v>
      </c>
      <c r="E27" s="2">
        <v>9.5960666437957295E-2</v>
      </c>
      <c r="F27" s="2">
        <v>1.9996000799839999E-4</v>
      </c>
      <c r="G27" s="2">
        <v>0.172130153034076</v>
      </c>
      <c r="H27" s="2">
        <v>1.9996000799839999E-4</v>
      </c>
      <c r="I27" s="2">
        <v>0.123467827742421</v>
      </c>
      <c r="J27" s="2">
        <v>1.9996000799839999E-4</v>
      </c>
      <c r="K27" s="2">
        <v>0.172130153034076</v>
      </c>
      <c r="L27" s="2">
        <v>1.9996000799839999E-4</v>
      </c>
      <c r="M27" s="2">
        <v>0</v>
      </c>
      <c r="N27" s="2">
        <v>1</v>
      </c>
      <c r="O27" s="2">
        <v>0.172130153034076</v>
      </c>
      <c r="P27" s="2">
        <v>1.9996000799839999E-4</v>
      </c>
      <c r="Q27" s="2">
        <v>0.111713304834535</v>
      </c>
      <c r="R27" s="2">
        <v>1.9996000799839999E-4</v>
      </c>
      <c r="S27" s="2">
        <v>0.172130153034076</v>
      </c>
      <c r="T27" s="2">
        <v>1.9996000799839999E-4</v>
      </c>
      <c r="U27" s="2">
        <v>8.7174778147885795E-2</v>
      </c>
      <c r="V27" s="2">
        <v>1.9996000799839999E-4</v>
      </c>
      <c r="W27" s="2">
        <v>0.16354253308839201</v>
      </c>
      <c r="X27" s="2">
        <v>1.9996000799839999E-4</v>
      </c>
    </row>
    <row r="28" spans="1:24" x14ac:dyDescent="0.25">
      <c r="A28" s="1">
        <v>0.25</v>
      </c>
      <c r="B28" t="s">
        <v>62</v>
      </c>
      <c r="C28">
        <v>3</v>
      </c>
      <c r="D28">
        <v>9</v>
      </c>
      <c r="E28" s="2">
        <v>0.10748954198694299</v>
      </c>
      <c r="F28" s="2">
        <v>1.9996000799839999E-4</v>
      </c>
      <c r="G28" s="2">
        <v>0.18066118406322201</v>
      </c>
      <c r="H28" s="2">
        <v>1.9996000799839999E-4</v>
      </c>
      <c r="I28" s="2">
        <v>0.13689728400444501</v>
      </c>
      <c r="J28" s="2">
        <v>1.9996000799839999E-4</v>
      </c>
      <c r="K28" s="2">
        <v>0.18066118406322201</v>
      </c>
      <c r="L28" s="2">
        <v>1.9996000799839999E-4</v>
      </c>
      <c r="M28" s="2">
        <v>0</v>
      </c>
      <c r="N28" s="2">
        <v>1</v>
      </c>
      <c r="O28" s="2">
        <v>0.18066118406322201</v>
      </c>
      <c r="P28" s="2">
        <v>1.9996000799839999E-4</v>
      </c>
      <c r="Q28" s="2">
        <v>0.116699433384783</v>
      </c>
      <c r="R28" s="2">
        <v>1.9996000799839999E-4</v>
      </c>
      <c r="S28" s="2">
        <v>0.18066118406322201</v>
      </c>
      <c r="T28" s="2">
        <v>1.9996000799839999E-4</v>
      </c>
      <c r="U28" s="2">
        <v>9.5561025847859998E-2</v>
      </c>
      <c r="V28" s="2">
        <v>1.9996000799839999E-4</v>
      </c>
      <c r="W28" s="2">
        <v>0.17360584926762301</v>
      </c>
      <c r="X28" s="2">
        <v>1.9996000799839999E-4</v>
      </c>
    </row>
    <row r="29" spans="1:24" x14ac:dyDescent="0.25">
      <c r="A29" s="1">
        <v>0.25</v>
      </c>
      <c r="B29" t="s">
        <v>62</v>
      </c>
      <c r="C29">
        <v>5</v>
      </c>
      <c r="D29">
        <v>1</v>
      </c>
      <c r="E29" s="2">
        <v>4.0957897297236298E-2</v>
      </c>
      <c r="F29" s="2">
        <v>1.9996000799839999E-4</v>
      </c>
      <c r="G29" s="2">
        <v>0.119905102848699</v>
      </c>
      <c r="H29" s="2">
        <v>1.9996000799839999E-4</v>
      </c>
      <c r="I29" s="2">
        <v>5.58603146286068E-2</v>
      </c>
      <c r="J29" s="2">
        <v>1.9996000799839999E-4</v>
      </c>
      <c r="K29" s="2">
        <v>0.119905102848699</v>
      </c>
      <c r="L29" s="2">
        <v>1.9996000799839999E-4</v>
      </c>
      <c r="M29" s="2">
        <v>0</v>
      </c>
      <c r="N29" s="2">
        <v>1</v>
      </c>
      <c r="O29" s="2">
        <v>0.119905102848699</v>
      </c>
      <c r="P29" s="2">
        <v>1.9996000799839999E-4</v>
      </c>
      <c r="Q29" s="2">
        <v>5.31413056926281E-2</v>
      </c>
      <c r="R29" s="2">
        <v>1.9996000799839999E-4</v>
      </c>
      <c r="S29" s="2">
        <v>0.119905102848699</v>
      </c>
      <c r="T29" s="2">
        <v>1.9996000799839999E-4</v>
      </c>
      <c r="U29" s="2">
        <v>3.3177372724262501E-2</v>
      </c>
      <c r="V29" s="2">
        <v>1.9996000799839999E-4</v>
      </c>
      <c r="W29" s="2">
        <v>0.110436194777229</v>
      </c>
      <c r="X29" s="2">
        <v>1.9996000799839999E-4</v>
      </c>
    </row>
    <row r="30" spans="1:24" x14ac:dyDescent="0.25">
      <c r="A30" s="1">
        <v>0.25</v>
      </c>
      <c r="B30" t="s">
        <v>62</v>
      </c>
      <c r="C30">
        <v>5</v>
      </c>
      <c r="D30">
        <v>3</v>
      </c>
      <c r="E30" s="2">
        <v>5.7772451261957798E-2</v>
      </c>
      <c r="F30" s="2">
        <v>1.9996000799839999E-4</v>
      </c>
      <c r="G30" s="2">
        <v>0.13849339096647201</v>
      </c>
      <c r="H30" s="2">
        <v>1.9996000799839999E-4</v>
      </c>
      <c r="I30" s="2">
        <v>7.1912294344350702E-2</v>
      </c>
      <c r="J30" s="2">
        <v>1.9996000799839999E-4</v>
      </c>
      <c r="K30" s="2">
        <v>0.13849339096647201</v>
      </c>
      <c r="L30" s="2">
        <v>1.9996000799839999E-4</v>
      </c>
      <c r="M30" s="2">
        <v>0</v>
      </c>
      <c r="N30" s="2">
        <v>1</v>
      </c>
      <c r="O30" s="2">
        <v>0.13849339096647201</v>
      </c>
      <c r="P30" s="2">
        <v>1.9996000799839999E-4</v>
      </c>
      <c r="Q30" s="2">
        <v>8.2830419740476405E-2</v>
      </c>
      <c r="R30" s="2">
        <v>1.9996000799839999E-4</v>
      </c>
      <c r="S30" s="2">
        <v>0.13849339096647201</v>
      </c>
      <c r="T30" s="2">
        <v>1.9996000799839999E-4</v>
      </c>
      <c r="U30" s="2">
        <v>5.2844139038224103E-2</v>
      </c>
      <c r="V30" s="2">
        <v>1.9996000799839999E-4</v>
      </c>
      <c r="W30" s="2">
        <v>0.13620394125097901</v>
      </c>
      <c r="X30" s="2">
        <v>1.9996000799839999E-4</v>
      </c>
    </row>
    <row r="31" spans="1:24" x14ac:dyDescent="0.25">
      <c r="A31" s="1">
        <v>0.25</v>
      </c>
      <c r="B31" t="s">
        <v>62</v>
      </c>
      <c r="C31">
        <v>5</v>
      </c>
      <c r="D31">
        <v>5</v>
      </c>
      <c r="E31" s="2">
        <v>8.9666039276016504E-2</v>
      </c>
      <c r="F31" s="2">
        <v>1.9996000799839999E-4</v>
      </c>
      <c r="G31" s="2">
        <v>0.162180680144452</v>
      </c>
      <c r="H31" s="2">
        <v>1.9996000799839999E-4</v>
      </c>
      <c r="I31" s="2">
        <v>0.105319065178041</v>
      </c>
      <c r="J31" s="2">
        <v>1.9996000799839999E-4</v>
      </c>
      <c r="K31" s="2">
        <v>0.162180680144452</v>
      </c>
      <c r="L31" s="2">
        <v>1.9996000799839999E-4</v>
      </c>
      <c r="M31" s="2">
        <v>0</v>
      </c>
      <c r="N31" s="2">
        <v>1</v>
      </c>
      <c r="O31" s="2">
        <v>0.162180680144452</v>
      </c>
      <c r="P31" s="2">
        <v>1.9996000799839999E-4</v>
      </c>
      <c r="Q31" s="2">
        <v>9.0102805637206698E-2</v>
      </c>
      <c r="R31" s="2">
        <v>1.9996000799839999E-4</v>
      </c>
      <c r="S31" s="2">
        <v>0.162180680144452</v>
      </c>
      <c r="T31" s="2">
        <v>1.9996000799839999E-4</v>
      </c>
      <c r="U31" s="2">
        <v>4.5682831008500999E-2</v>
      </c>
      <c r="V31" s="2">
        <v>1.9996000799839999E-4</v>
      </c>
      <c r="W31" s="2">
        <v>0.13329314901720701</v>
      </c>
      <c r="X31" s="2">
        <v>1.9996000799839999E-4</v>
      </c>
    </row>
    <row r="32" spans="1:24" x14ac:dyDescent="0.25">
      <c r="A32" s="1">
        <v>0.25</v>
      </c>
      <c r="B32" t="s">
        <v>62</v>
      </c>
      <c r="C32">
        <v>5</v>
      </c>
      <c r="D32">
        <v>7</v>
      </c>
      <c r="E32" s="2">
        <v>7.9358794381852601E-2</v>
      </c>
      <c r="F32" s="2">
        <v>1.9996000799839999E-4</v>
      </c>
      <c r="G32" s="2">
        <v>0.156244953282488</v>
      </c>
      <c r="H32" s="2">
        <v>1.9996000799839999E-4</v>
      </c>
      <c r="I32" s="2">
        <v>9.3473086009835199E-2</v>
      </c>
      <c r="J32" s="2">
        <v>1.9996000799839999E-4</v>
      </c>
      <c r="K32" s="2">
        <v>0.156244953282488</v>
      </c>
      <c r="L32" s="2">
        <v>1.9996000799839999E-4</v>
      </c>
      <c r="M32" s="2">
        <v>0</v>
      </c>
      <c r="N32" s="2">
        <v>1</v>
      </c>
      <c r="O32" s="2">
        <v>0.156244953282488</v>
      </c>
      <c r="P32" s="2">
        <v>1.9996000799839999E-4</v>
      </c>
      <c r="Q32" s="2">
        <v>8.8219538277789694E-2</v>
      </c>
      <c r="R32" s="2">
        <v>1.9996000799839999E-4</v>
      </c>
      <c r="S32" s="2">
        <v>0.156244953282488</v>
      </c>
      <c r="T32" s="2">
        <v>1.9996000799839999E-4</v>
      </c>
      <c r="U32" s="2">
        <v>5.3474415757430997E-2</v>
      </c>
      <c r="V32" s="2">
        <v>1.9996000799839999E-4</v>
      </c>
      <c r="W32" s="2">
        <v>0.14649067804841501</v>
      </c>
      <c r="X32" s="2">
        <v>1.9996000799839999E-4</v>
      </c>
    </row>
    <row r="33" spans="1:24" x14ac:dyDescent="0.25">
      <c r="A33" s="1">
        <v>0.25</v>
      </c>
      <c r="B33" t="s">
        <v>62</v>
      </c>
      <c r="C33">
        <v>5</v>
      </c>
      <c r="D33">
        <v>9</v>
      </c>
      <c r="E33" s="2">
        <v>8.4939102895048399E-2</v>
      </c>
      <c r="F33" s="2">
        <v>1.9996000799839999E-4</v>
      </c>
      <c r="G33" s="2">
        <v>0.16423668256448501</v>
      </c>
      <c r="H33" s="2">
        <v>1.9996000799839999E-4</v>
      </c>
      <c r="I33" s="2">
        <v>0.100880277087347</v>
      </c>
      <c r="J33" s="2">
        <v>1.9996000799839999E-4</v>
      </c>
      <c r="K33" s="2">
        <v>0.16423668256448501</v>
      </c>
      <c r="L33" s="2">
        <v>1.9996000799839999E-4</v>
      </c>
      <c r="M33" s="2">
        <v>0</v>
      </c>
      <c r="N33" s="2">
        <v>1</v>
      </c>
      <c r="O33" s="2">
        <v>0.16423668256448501</v>
      </c>
      <c r="P33" s="2">
        <v>1.9996000799839999E-4</v>
      </c>
      <c r="Q33" s="2">
        <v>8.3371073377235205E-2</v>
      </c>
      <c r="R33" s="2">
        <v>1.9996000799839999E-4</v>
      </c>
      <c r="S33" s="2">
        <v>0.16423668256448501</v>
      </c>
      <c r="T33" s="2">
        <v>1.9996000799839999E-4</v>
      </c>
      <c r="U33" s="2">
        <v>5.3509342204068E-2</v>
      </c>
      <c r="V33" s="2">
        <v>1.9996000799839999E-4</v>
      </c>
      <c r="W33" s="2">
        <v>0.153377594669899</v>
      </c>
      <c r="X33" s="2">
        <v>1.9996000799839999E-4</v>
      </c>
    </row>
    <row r="34" spans="1:24" x14ac:dyDescent="0.25">
      <c r="A34" s="1">
        <v>0.25</v>
      </c>
      <c r="B34" t="s">
        <v>63</v>
      </c>
      <c r="C34">
        <v>3</v>
      </c>
      <c r="D34">
        <v>1</v>
      </c>
      <c r="E34" s="2">
        <v>0.128466420702087</v>
      </c>
      <c r="F34" s="2">
        <v>1.9996000799839999E-4</v>
      </c>
      <c r="G34" s="2">
        <v>0.178759872847817</v>
      </c>
      <c r="H34" s="2">
        <v>1.9996000799839999E-4</v>
      </c>
      <c r="I34" s="2">
        <v>0.14131995451750701</v>
      </c>
      <c r="J34" s="2">
        <v>1.9996000799839999E-4</v>
      </c>
      <c r="K34" s="2">
        <v>0.178759872847817</v>
      </c>
      <c r="L34" s="2">
        <v>1.9996000799839999E-4</v>
      </c>
      <c r="M34" s="2">
        <v>5.3072277760301996E-3</v>
      </c>
      <c r="N34" s="2">
        <v>0.62207558488302295</v>
      </c>
      <c r="O34" s="2">
        <v>0.178759872847817</v>
      </c>
      <c r="P34" s="2">
        <v>1.9996000799839999E-4</v>
      </c>
      <c r="Q34" s="2">
        <v>9.7098720684333797E-2</v>
      </c>
      <c r="R34" s="2">
        <v>1.9996000799839999E-4</v>
      </c>
      <c r="S34" s="2">
        <v>0.178759872847817</v>
      </c>
      <c r="T34" s="2">
        <v>1.9996000799839999E-4</v>
      </c>
      <c r="U34" s="2">
        <v>7.3575097936278006E-2</v>
      </c>
      <c r="V34" s="2">
        <v>1.9996000799839999E-4</v>
      </c>
      <c r="W34" s="2">
        <v>0.14799268257013901</v>
      </c>
      <c r="X34" s="2">
        <v>1.9996000799839999E-4</v>
      </c>
    </row>
    <row r="35" spans="1:24" x14ac:dyDescent="0.25">
      <c r="A35" s="1">
        <v>0.25</v>
      </c>
      <c r="B35" t="s">
        <v>63</v>
      </c>
      <c r="C35">
        <v>3</v>
      </c>
      <c r="D35">
        <v>3</v>
      </c>
      <c r="E35" s="2">
        <v>0.127490879962534</v>
      </c>
      <c r="F35" s="2">
        <v>1.9996000799839999E-4</v>
      </c>
      <c r="G35" s="2">
        <v>0.177530449368418</v>
      </c>
      <c r="H35" s="2">
        <v>1.9996000799839999E-4</v>
      </c>
      <c r="I35" s="2">
        <v>0.13825205246541</v>
      </c>
      <c r="J35" s="2">
        <v>1.9996000799839999E-4</v>
      </c>
      <c r="K35" s="2">
        <v>0.177530449368418</v>
      </c>
      <c r="L35" s="2">
        <v>1.9996000799839999E-4</v>
      </c>
      <c r="M35" s="2">
        <v>3.7527767497325501E-3</v>
      </c>
      <c r="N35" s="2">
        <v>0.62207558488302295</v>
      </c>
      <c r="O35" s="2">
        <v>0.177530449368418</v>
      </c>
      <c r="P35" s="2">
        <v>1.9996000799839999E-4</v>
      </c>
      <c r="Q35" s="2">
        <v>0.130725911674345</v>
      </c>
      <c r="R35" s="2">
        <v>1.9996000799839999E-4</v>
      </c>
      <c r="S35" s="2">
        <v>0.177530449368418</v>
      </c>
      <c r="T35" s="2">
        <v>1.9996000799839999E-4</v>
      </c>
      <c r="U35" s="2">
        <v>0.143808936088232</v>
      </c>
      <c r="V35" s="2">
        <v>1.9996000799839999E-4</v>
      </c>
      <c r="W35" s="2">
        <v>0.20874172224441101</v>
      </c>
      <c r="X35" s="2">
        <v>1.9996000799839999E-4</v>
      </c>
    </row>
    <row r="36" spans="1:24" x14ac:dyDescent="0.25">
      <c r="A36" s="1">
        <v>0.25</v>
      </c>
      <c r="B36" t="s">
        <v>63</v>
      </c>
      <c r="C36">
        <v>3</v>
      </c>
      <c r="D36">
        <v>5</v>
      </c>
      <c r="E36" s="2">
        <v>0.17796418245323101</v>
      </c>
      <c r="F36" s="2">
        <v>1.9996000799839999E-4</v>
      </c>
      <c r="G36" s="2">
        <v>0.23466567584871401</v>
      </c>
      <c r="H36" s="2">
        <v>1.9996000799839999E-4</v>
      </c>
      <c r="I36" s="2">
        <v>0.19585645792118</v>
      </c>
      <c r="J36" s="2">
        <v>1.9996000799839999E-4</v>
      </c>
      <c r="K36" s="2">
        <v>0.23466567584871401</v>
      </c>
      <c r="L36" s="2">
        <v>1.9996000799839999E-4</v>
      </c>
      <c r="M36" s="2">
        <v>0.128609581933605</v>
      </c>
      <c r="N36" s="2">
        <v>1.9996000799839999E-4</v>
      </c>
      <c r="O36" s="2">
        <v>0.23466567584871401</v>
      </c>
      <c r="P36" s="2">
        <v>1.9996000799839999E-4</v>
      </c>
      <c r="Q36" s="2">
        <v>0.15301584984066899</v>
      </c>
      <c r="R36" s="2">
        <v>1.9996000799839999E-4</v>
      </c>
      <c r="S36" s="2">
        <v>0.23466567584871401</v>
      </c>
      <c r="T36" s="2">
        <v>1.9996000799839999E-4</v>
      </c>
      <c r="U36" s="2">
        <v>0.15668886968868301</v>
      </c>
      <c r="V36" s="2">
        <v>1.9996000799839999E-4</v>
      </c>
      <c r="W36" s="2">
        <v>0.22563070928382301</v>
      </c>
      <c r="X36" s="2">
        <v>1.9996000799839999E-4</v>
      </c>
    </row>
    <row r="37" spans="1:24" x14ac:dyDescent="0.25">
      <c r="A37" s="1">
        <v>0.25</v>
      </c>
      <c r="B37" t="s">
        <v>63</v>
      </c>
      <c r="C37">
        <v>3</v>
      </c>
      <c r="D37">
        <v>7</v>
      </c>
      <c r="E37" s="2">
        <v>0.178392406059451</v>
      </c>
      <c r="F37" s="2">
        <v>1.9996000799839999E-4</v>
      </c>
      <c r="G37" s="2">
        <v>0.23017244659697</v>
      </c>
      <c r="H37" s="2">
        <v>1.9996000799839999E-4</v>
      </c>
      <c r="I37" s="2">
        <v>0.188907296500508</v>
      </c>
      <c r="J37" s="2">
        <v>1.9996000799839999E-4</v>
      </c>
      <c r="K37" s="2">
        <v>0.23017244659697</v>
      </c>
      <c r="L37" s="2">
        <v>1.9996000799839999E-4</v>
      </c>
      <c r="M37" s="2">
        <v>0.12866723510554401</v>
      </c>
      <c r="N37" s="2">
        <v>1.9996000799839999E-4</v>
      </c>
      <c r="O37" s="2">
        <v>0.23017244659697</v>
      </c>
      <c r="P37" s="2">
        <v>1.9996000799839999E-4</v>
      </c>
      <c r="Q37" s="2">
        <v>0.175041036149785</v>
      </c>
      <c r="R37" s="2">
        <v>1.9996000799839999E-4</v>
      </c>
      <c r="S37" s="2">
        <v>0.23017244659697</v>
      </c>
      <c r="T37" s="2">
        <v>1.9996000799839999E-4</v>
      </c>
      <c r="U37" s="2">
        <v>0.145804963587567</v>
      </c>
      <c r="V37" s="2">
        <v>1.9996000799839999E-4</v>
      </c>
      <c r="W37" s="2">
        <v>0.21872900511649601</v>
      </c>
      <c r="X37" s="2">
        <v>1.9996000799839999E-4</v>
      </c>
    </row>
    <row r="38" spans="1:24" x14ac:dyDescent="0.25">
      <c r="A38" s="1">
        <v>0.25</v>
      </c>
      <c r="B38" t="s">
        <v>63</v>
      </c>
      <c r="C38">
        <v>3</v>
      </c>
      <c r="D38">
        <v>9</v>
      </c>
      <c r="E38" s="2">
        <v>0.16712625349079399</v>
      </c>
      <c r="F38" s="2">
        <v>1.9996000799839999E-4</v>
      </c>
      <c r="G38" s="2">
        <v>0.225734738158613</v>
      </c>
      <c r="H38" s="2">
        <v>1.9996000799839999E-4</v>
      </c>
      <c r="I38" s="2">
        <v>0.184503537180918</v>
      </c>
      <c r="J38" s="2">
        <v>1.9996000799839999E-4</v>
      </c>
      <c r="K38" s="2">
        <v>0.225734738158613</v>
      </c>
      <c r="L38" s="2">
        <v>1.9996000799839999E-4</v>
      </c>
      <c r="M38" s="2">
        <v>9.0600045257627493E-3</v>
      </c>
      <c r="N38" s="2">
        <v>1.9996000799839999E-4</v>
      </c>
      <c r="O38" s="2">
        <v>0.225734738158613</v>
      </c>
      <c r="P38" s="2">
        <v>1.9996000799839999E-4</v>
      </c>
      <c r="Q38" s="2">
        <v>0.15441290579719699</v>
      </c>
      <c r="R38" s="2">
        <v>1.9996000799839999E-4</v>
      </c>
      <c r="S38" s="2">
        <v>0.225734738158613</v>
      </c>
      <c r="T38" s="2">
        <v>1.9996000799839999E-4</v>
      </c>
      <c r="U38" s="2">
        <v>0.18861652225805001</v>
      </c>
      <c r="V38" s="2">
        <v>1.9996000799839999E-4</v>
      </c>
      <c r="W38" s="2">
        <v>0.24693665656055</v>
      </c>
      <c r="X38" s="2">
        <v>1.9996000799839999E-4</v>
      </c>
    </row>
    <row r="39" spans="1:24" x14ac:dyDescent="0.25">
      <c r="A39" s="1">
        <v>0.25</v>
      </c>
      <c r="B39" t="s">
        <v>63</v>
      </c>
      <c r="C39">
        <v>5</v>
      </c>
      <c r="D39">
        <v>1</v>
      </c>
      <c r="E39" s="2">
        <v>8.74834786082688E-2</v>
      </c>
      <c r="F39" s="2">
        <v>1.9996000799839999E-4</v>
      </c>
      <c r="G39" s="2">
        <v>0.150563529554921</v>
      </c>
      <c r="H39" s="2">
        <v>1.9996000799839999E-4</v>
      </c>
      <c r="I39" s="2">
        <v>9.0600407611789502E-2</v>
      </c>
      <c r="J39" s="2">
        <v>1.9996000799839999E-4</v>
      </c>
      <c r="K39" s="2">
        <v>0.150563529554921</v>
      </c>
      <c r="L39" s="2">
        <v>1.9996000799839999E-4</v>
      </c>
      <c r="M39" s="2">
        <v>4.1109609582188501E-3</v>
      </c>
      <c r="N39" s="2">
        <v>0.62207558488302295</v>
      </c>
      <c r="O39" s="2">
        <v>0.150563529554921</v>
      </c>
      <c r="P39" s="2">
        <v>1.9996000799839999E-4</v>
      </c>
      <c r="Q39" s="2">
        <v>7.8527821302806403E-2</v>
      </c>
      <c r="R39" s="2">
        <v>1.9996000799839999E-4</v>
      </c>
      <c r="S39" s="2">
        <v>0.150563529554921</v>
      </c>
      <c r="T39" s="2">
        <v>1.9996000799839999E-4</v>
      </c>
      <c r="U39" s="2">
        <v>0.124400843923306</v>
      </c>
      <c r="V39" s="2">
        <v>1.9996000799839999E-4</v>
      </c>
      <c r="W39" s="2">
        <v>0.19272719581549499</v>
      </c>
      <c r="X39" s="2">
        <v>1.9996000799839999E-4</v>
      </c>
    </row>
    <row r="40" spans="1:24" x14ac:dyDescent="0.25">
      <c r="A40" s="1">
        <v>0.25</v>
      </c>
      <c r="B40" t="s">
        <v>63</v>
      </c>
      <c r="C40">
        <v>5</v>
      </c>
      <c r="D40">
        <v>3</v>
      </c>
      <c r="E40" s="2">
        <v>0.10143344648323201</v>
      </c>
      <c r="F40" s="2">
        <v>1.9996000799839999E-4</v>
      </c>
      <c r="G40" s="2">
        <v>0.16795844538204699</v>
      </c>
      <c r="H40" s="2">
        <v>1.9996000799839999E-4</v>
      </c>
      <c r="I40" s="2">
        <v>0.103416585786628</v>
      </c>
      <c r="J40" s="2">
        <v>1.9996000799839999E-4</v>
      </c>
      <c r="K40" s="2">
        <v>0.16795844538204699</v>
      </c>
      <c r="L40" s="2">
        <v>1.9996000799839999E-4</v>
      </c>
      <c r="M40" s="2">
        <v>7.0178493289685499E-3</v>
      </c>
      <c r="N40" s="2">
        <v>1.9996000799839999E-4</v>
      </c>
      <c r="O40" s="2">
        <v>0.16795844538204699</v>
      </c>
      <c r="P40" s="2">
        <v>1.9996000799839999E-4</v>
      </c>
      <c r="Q40" s="2">
        <v>9.2139067758497506E-2</v>
      </c>
      <c r="R40" s="2">
        <v>1.9996000799839999E-4</v>
      </c>
      <c r="S40" s="2">
        <v>0.16795844538204699</v>
      </c>
      <c r="T40" s="2">
        <v>1.9996000799839999E-4</v>
      </c>
      <c r="U40" s="2">
        <v>0.13267050923152199</v>
      </c>
      <c r="V40" s="2">
        <v>1.9996000799839999E-4</v>
      </c>
      <c r="W40" s="2">
        <v>0.22104390895485801</v>
      </c>
      <c r="X40" s="2">
        <v>1.9996000799839999E-4</v>
      </c>
    </row>
    <row r="41" spans="1:24" x14ac:dyDescent="0.25">
      <c r="A41" s="1">
        <v>0.25</v>
      </c>
      <c r="B41" t="s">
        <v>63</v>
      </c>
      <c r="C41">
        <v>5</v>
      </c>
      <c r="D41">
        <v>5</v>
      </c>
      <c r="E41" s="2">
        <v>0.11749182190218101</v>
      </c>
      <c r="F41" s="2">
        <v>1.9996000799839999E-4</v>
      </c>
      <c r="G41" s="2">
        <v>0.19747250501894401</v>
      </c>
      <c r="H41" s="2">
        <v>1.9996000799839999E-4</v>
      </c>
      <c r="I41" s="2">
        <v>0.13188838183759399</v>
      </c>
      <c r="J41" s="2">
        <v>1.9996000799839999E-4</v>
      </c>
      <c r="K41" s="2">
        <v>0.19747250501894401</v>
      </c>
      <c r="L41" s="2">
        <v>1.9996000799839999E-4</v>
      </c>
      <c r="M41" s="2">
        <v>1.0848655091568999E-2</v>
      </c>
      <c r="N41" s="2">
        <v>1.9996000799839999E-4</v>
      </c>
      <c r="O41" s="2">
        <v>0.19747250501894401</v>
      </c>
      <c r="P41" s="2">
        <v>1.9996000799839999E-4</v>
      </c>
      <c r="Q41" s="2">
        <v>9.9131169786816298E-2</v>
      </c>
      <c r="R41" s="2">
        <v>1.9996000799839999E-4</v>
      </c>
      <c r="S41" s="2">
        <v>0.19747250501894401</v>
      </c>
      <c r="T41" s="2">
        <v>1.9996000799839999E-4</v>
      </c>
      <c r="U41" s="2">
        <v>0.104197520681275</v>
      </c>
      <c r="V41" s="2">
        <v>1.9996000799839999E-4</v>
      </c>
      <c r="W41" s="2">
        <v>0.18497357475375101</v>
      </c>
      <c r="X41" s="2">
        <v>1.9996000799839999E-4</v>
      </c>
    </row>
    <row r="42" spans="1:24" x14ac:dyDescent="0.25">
      <c r="A42" s="1">
        <v>0.25</v>
      </c>
      <c r="B42" t="s">
        <v>63</v>
      </c>
      <c r="C42">
        <v>5</v>
      </c>
      <c r="D42">
        <v>7</v>
      </c>
      <c r="E42" s="2">
        <v>0.12522299283142899</v>
      </c>
      <c r="F42" s="2">
        <v>1.9996000799839999E-4</v>
      </c>
      <c r="G42" s="2">
        <v>0.209171577353779</v>
      </c>
      <c r="H42" s="2">
        <v>1.9996000799839999E-4</v>
      </c>
      <c r="I42" s="2">
        <v>0.141383602017041</v>
      </c>
      <c r="J42" s="2">
        <v>1.9996000799839999E-4</v>
      </c>
      <c r="K42" s="2">
        <v>0.209171577353779</v>
      </c>
      <c r="L42" s="2">
        <v>1.9996000799839999E-4</v>
      </c>
      <c r="M42" s="2">
        <v>9.9247376997183001E-3</v>
      </c>
      <c r="N42" s="2">
        <v>0.26154769046190701</v>
      </c>
      <c r="O42" s="2">
        <v>0.209171577353779</v>
      </c>
      <c r="P42" s="2">
        <v>1.9996000799839999E-4</v>
      </c>
      <c r="Q42" s="2">
        <v>0.125803790890372</v>
      </c>
      <c r="R42" s="2">
        <v>1.9996000799839999E-4</v>
      </c>
      <c r="S42" s="2">
        <v>0.209171577353779</v>
      </c>
      <c r="T42" s="2">
        <v>1.9996000799839999E-4</v>
      </c>
      <c r="U42" s="2">
        <v>0.12729936525632399</v>
      </c>
      <c r="V42" s="2">
        <v>1.9996000799839999E-4</v>
      </c>
      <c r="W42" s="2">
        <v>0.19829843664524699</v>
      </c>
      <c r="X42" s="2">
        <v>1.9996000799839999E-4</v>
      </c>
    </row>
    <row r="43" spans="1:24" x14ac:dyDescent="0.25">
      <c r="A43" s="1">
        <v>0.25</v>
      </c>
      <c r="B43" t="s">
        <v>63</v>
      </c>
      <c r="C43">
        <v>5</v>
      </c>
      <c r="D43">
        <v>9</v>
      </c>
      <c r="E43" s="2">
        <v>0.141101061954295</v>
      </c>
      <c r="F43" s="2">
        <v>1.9996000799839999E-4</v>
      </c>
      <c r="G43" s="2">
        <v>0.222615407573446</v>
      </c>
      <c r="H43" s="2">
        <v>1.9996000799839999E-4</v>
      </c>
      <c r="I43" s="2">
        <v>0.15310434689188299</v>
      </c>
      <c r="J43" s="2">
        <v>1.9996000799839999E-4</v>
      </c>
      <c r="K43" s="2">
        <v>0.222615407573446</v>
      </c>
      <c r="L43" s="2">
        <v>1.9996000799839999E-4</v>
      </c>
      <c r="M43" s="2">
        <v>1.0848655091568999E-2</v>
      </c>
      <c r="N43" s="2">
        <v>1.9996000799839999E-4</v>
      </c>
      <c r="O43" s="2">
        <v>0.222615407573446</v>
      </c>
      <c r="P43" s="2">
        <v>1.9996000799839999E-4</v>
      </c>
      <c r="Q43" s="2">
        <v>0.13588580588790999</v>
      </c>
      <c r="R43" s="2">
        <v>1.9996000799839999E-4</v>
      </c>
      <c r="S43" s="2">
        <v>0.222615407573446</v>
      </c>
      <c r="T43" s="2">
        <v>1.9996000799839999E-4</v>
      </c>
      <c r="U43" s="2">
        <v>0.16173196691837399</v>
      </c>
      <c r="V43" s="2">
        <v>1.9996000799839999E-4</v>
      </c>
      <c r="W43" s="2">
        <v>0.24489423889256801</v>
      </c>
      <c r="X43" s="2">
        <v>1.9996000799839999E-4</v>
      </c>
    </row>
    <row r="44" spans="1:24" x14ac:dyDescent="0.25">
      <c r="A44" s="1">
        <v>0.5</v>
      </c>
      <c r="B44" t="s">
        <v>62</v>
      </c>
      <c r="C44">
        <v>3</v>
      </c>
      <c r="D44">
        <v>1</v>
      </c>
      <c r="E44" s="2">
        <v>8.8431163630201703E-2</v>
      </c>
      <c r="F44" s="2">
        <v>1.9996000799839999E-4</v>
      </c>
      <c r="G44" s="2">
        <v>0.16158512191495999</v>
      </c>
      <c r="H44" s="2">
        <v>1.9996000799839999E-4</v>
      </c>
      <c r="I44" s="2">
        <v>0.11095483551619301</v>
      </c>
      <c r="J44" s="2">
        <v>1.9996000799839999E-4</v>
      </c>
      <c r="K44" s="2">
        <v>0.16158512191495999</v>
      </c>
      <c r="L44" s="2">
        <v>1.9996000799839999E-4</v>
      </c>
      <c r="M44" s="2">
        <v>9.8149545762236404E-2</v>
      </c>
      <c r="N44" s="2">
        <v>5.1989602079584002E-2</v>
      </c>
      <c r="O44" s="2">
        <v>0.16158512191495999</v>
      </c>
      <c r="P44" s="2">
        <v>1.9996000799839999E-4</v>
      </c>
      <c r="Q44" s="2">
        <v>6.1465159720455902E-2</v>
      </c>
      <c r="R44" s="2">
        <v>1.9996000799839999E-4</v>
      </c>
      <c r="S44" s="2">
        <v>0.16158512191495999</v>
      </c>
      <c r="T44" s="2">
        <v>1.9996000799839999E-4</v>
      </c>
      <c r="U44" s="2">
        <v>5.1059819767912101E-2</v>
      </c>
      <c r="V44" s="2">
        <v>1.9996000799839999E-4</v>
      </c>
      <c r="W44" s="2">
        <v>0.15583075266917101</v>
      </c>
      <c r="X44" s="2">
        <v>1.9996000799839999E-4</v>
      </c>
    </row>
    <row r="45" spans="1:24" x14ac:dyDescent="0.25">
      <c r="A45" s="1">
        <v>0.5</v>
      </c>
      <c r="B45" t="s">
        <v>62</v>
      </c>
      <c r="C45">
        <v>3</v>
      </c>
      <c r="D45">
        <v>3</v>
      </c>
      <c r="E45" s="2">
        <v>8.1665310762111906E-2</v>
      </c>
      <c r="F45" s="2">
        <v>1.9996000799839999E-4</v>
      </c>
      <c r="G45" s="2">
        <v>0.17378132818206801</v>
      </c>
      <c r="H45" s="2">
        <v>1.9996000799839999E-4</v>
      </c>
      <c r="I45" s="2">
        <v>0.116006283127806</v>
      </c>
      <c r="J45" s="2">
        <v>1.9996000799839999E-4</v>
      </c>
      <c r="K45" s="2">
        <v>0.17378132818206801</v>
      </c>
      <c r="L45" s="2">
        <v>1.9996000799839999E-4</v>
      </c>
      <c r="M45" s="2">
        <v>0.112583302491977</v>
      </c>
      <c r="N45" s="2">
        <v>1.9996000799839999E-4</v>
      </c>
      <c r="O45" s="2">
        <v>0.17378132818206801</v>
      </c>
      <c r="P45" s="2">
        <v>1.9996000799839999E-4</v>
      </c>
      <c r="Q45" s="2">
        <v>3.8255678257047301E-2</v>
      </c>
      <c r="R45" s="2">
        <v>1.9996000799839999E-4</v>
      </c>
      <c r="S45" s="2">
        <v>0.17378132818206801</v>
      </c>
      <c r="T45" s="2">
        <v>1.9996000799839999E-4</v>
      </c>
      <c r="U45" s="2">
        <v>4.9677595176214201E-2</v>
      </c>
      <c r="V45" s="2">
        <v>1.9996000799839999E-4</v>
      </c>
      <c r="W45" s="2">
        <v>0.14996881742079299</v>
      </c>
      <c r="X45" s="2">
        <v>1.9996000799839999E-4</v>
      </c>
    </row>
    <row r="46" spans="1:24" x14ac:dyDescent="0.25">
      <c r="A46" s="1">
        <v>0.5</v>
      </c>
      <c r="B46" t="s">
        <v>62</v>
      </c>
      <c r="C46">
        <v>3</v>
      </c>
      <c r="D46">
        <v>5</v>
      </c>
      <c r="E46" s="2">
        <v>9.7451756070205203E-2</v>
      </c>
      <c r="F46" s="2">
        <v>1.9996000799839999E-4</v>
      </c>
      <c r="G46" s="2">
        <v>0.176377348059573</v>
      </c>
      <c r="H46" s="2">
        <v>1.9996000799839999E-4</v>
      </c>
      <c r="I46" s="2">
        <v>0.121340143322065</v>
      </c>
      <c r="J46" s="2">
        <v>1.9996000799839999E-4</v>
      </c>
      <c r="K46" s="2">
        <v>0.176377348059573</v>
      </c>
      <c r="L46" s="2">
        <v>1.9996000799839999E-4</v>
      </c>
      <c r="M46" s="2">
        <v>9.8149545762236404E-2</v>
      </c>
      <c r="N46" s="2">
        <v>1.9996000799839999E-4</v>
      </c>
      <c r="O46" s="2">
        <v>0.176377348059573</v>
      </c>
      <c r="P46" s="2">
        <v>1.9996000799839999E-4</v>
      </c>
      <c r="Q46" s="2">
        <v>6.6636346349265907E-2</v>
      </c>
      <c r="R46" s="2">
        <v>1.9996000799839999E-4</v>
      </c>
      <c r="S46" s="2">
        <v>0.176377348059573</v>
      </c>
      <c r="T46" s="2">
        <v>1.9996000799839999E-4</v>
      </c>
      <c r="U46" s="2">
        <v>6.0851893066639698E-2</v>
      </c>
      <c r="V46" s="2">
        <v>1.9996000799839999E-4</v>
      </c>
      <c r="W46" s="2">
        <v>0.149367436180048</v>
      </c>
      <c r="X46" s="2">
        <v>1.9996000799839999E-4</v>
      </c>
    </row>
    <row r="47" spans="1:24" x14ac:dyDescent="0.25">
      <c r="A47" s="1">
        <v>0.5</v>
      </c>
      <c r="B47" t="s">
        <v>62</v>
      </c>
      <c r="C47">
        <v>3</v>
      </c>
      <c r="D47">
        <v>7</v>
      </c>
      <c r="E47" s="2">
        <v>9.6491959660457094E-2</v>
      </c>
      <c r="F47" s="2">
        <v>1.9996000799839999E-4</v>
      </c>
      <c r="G47" s="2">
        <v>0.172130153034076</v>
      </c>
      <c r="H47" s="2">
        <v>1.9996000799839999E-4</v>
      </c>
      <c r="I47" s="2">
        <v>0.11744782039771</v>
      </c>
      <c r="J47" s="2">
        <v>1.9996000799839999E-4</v>
      </c>
      <c r="K47" s="2">
        <v>0.172130153034076</v>
      </c>
      <c r="L47" s="2">
        <v>1.9996000799839999E-4</v>
      </c>
      <c r="M47" s="2">
        <v>9.8149545762236404E-2</v>
      </c>
      <c r="N47" s="2">
        <v>5.1989602079584002E-2</v>
      </c>
      <c r="O47" s="2">
        <v>0.172130153034076</v>
      </c>
      <c r="P47" s="2">
        <v>1.9996000799839999E-4</v>
      </c>
      <c r="Q47" s="2">
        <v>6.6636346349265907E-2</v>
      </c>
      <c r="R47" s="2">
        <v>1.9996000799839999E-4</v>
      </c>
      <c r="S47" s="2">
        <v>0.172130153034076</v>
      </c>
      <c r="T47" s="2">
        <v>1.9996000799839999E-4</v>
      </c>
      <c r="U47" s="2">
        <v>8.1555543604892103E-2</v>
      </c>
      <c r="V47" s="2">
        <v>1.9996000799839999E-4</v>
      </c>
      <c r="W47" s="2">
        <v>0.16354253308839201</v>
      </c>
      <c r="X47" s="2">
        <v>1.9996000799839999E-4</v>
      </c>
    </row>
    <row r="48" spans="1:24" x14ac:dyDescent="0.25">
      <c r="A48" s="1">
        <v>0.5</v>
      </c>
      <c r="B48" t="s">
        <v>62</v>
      </c>
      <c r="C48">
        <v>3</v>
      </c>
      <c r="D48">
        <v>9</v>
      </c>
      <c r="E48" s="2">
        <v>0.105768191465134</v>
      </c>
      <c r="F48" s="2">
        <v>1.9996000799839999E-4</v>
      </c>
      <c r="G48" s="2">
        <v>0.18066118406322201</v>
      </c>
      <c r="H48" s="2">
        <v>1.9996000799839999E-4</v>
      </c>
      <c r="I48" s="2">
        <v>0.12922528842918399</v>
      </c>
      <c r="J48" s="2">
        <v>1.9996000799839999E-4</v>
      </c>
      <c r="K48" s="2">
        <v>0.18066118406322201</v>
      </c>
      <c r="L48" s="2">
        <v>1.9996000799839999E-4</v>
      </c>
      <c r="M48" s="2">
        <v>9.8149545762236404E-2</v>
      </c>
      <c r="N48" s="2">
        <v>1.9996000799839999E-4</v>
      </c>
      <c r="O48" s="2">
        <v>0.18066118406322201</v>
      </c>
      <c r="P48" s="2">
        <v>1.9996000799839999E-4</v>
      </c>
      <c r="Q48" s="2">
        <v>6.9554446930254102E-2</v>
      </c>
      <c r="R48" s="2">
        <v>1.9996000799839999E-4</v>
      </c>
      <c r="S48" s="2">
        <v>0.18066118406322201</v>
      </c>
      <c r="T48" s="2">
        <v>1.9996000799839999E-4</v>
      </c>
      <c r="U48" s="2">
        <v>9.7841061276529098E-2</v>
      </c>
      <c r="V48" s="2">
        <v>1.9996000799839999E-4</v>
      </c>
      <c r="W48" s="2">
        <v>0.17360584926762301</v>
      </c>
      <c r="X48" s="2">
        <v>1.9996000799839999E-4</v>
      </c>
    </row>
    <row r="49" spans="1:24" x14ac:dyDescent="0.25">
      <c r="A49" s="1">
        <v>0.5</v>
      </c>
      <c r="B49" t="s">
        <v>62</v>
      </c>
      <c r="C49">
        <v>5</v>
      </c>
      <c r="D49">
        <v>1</v>
      </c>
      <c r="E49" s="2">
        <v>2.7204379070413499E-2</v>
      </c>
      <c r="F49" s="2">
        <v>1.9996000799839999E-4</v>
      </c>
      <c r="G49" s="2">
        <v>0.119905102848699</v>
      </c>
      <c r="H49" s="2">
        <v>1.9996000799839999E-4</v>
      </c>
      <c r="I49" s="2">
        <v>4.7934994128471999E-2</v>
      </c>
      <c r="J49" s="2">
        <v>1.9996000799839999E-4</v>
      </c>
      <c r="K49" s="2">
        <v>0.119905102848699</v>
      </c>
      <c r="L49" s="2">
        <v>1.9996000799839999E-4</v>
      </c>
      <c r="M49" s="2">
        <v>0</v>
      </c>
      <c r="N49" s="2">
        <v>1</v>
      </c>
      <c r="O49" s="2">
        <v>0.119905102848699</v>
      </c>
      <c r="P49" s="2">
        <v>1.9996000799839999E-4</v>
      </c>
      <c r="Q49" s="2">
        <v>1.75030383558533E-2</v>
      </c>
      <c r="R49" s="2">
        <v>1.9996000799839999E-4</v>
      </c>
      <c r="S49" s="2">
        <v>0.119905102848699</v>
      </c>
      <c r="T49" s="2">
        <v>1.9996000799839999E-4</v>
      </c>
      <c r="U49" s="2">
        <v>1.7927212418065299E-2</v>
      </c>
      <c r="V49" s="2">
        <v>1.9996000799839999E-4</v>
      </c>
      <c r="W49" s="2">
        <v>0.110436194777229</v>
      </c>
      <c r="X49" s="2">
        <v>1.9996000799839999E-4</v>
      </c>
    </row>
    <row r="50" spans="1:24" x14ac:dyDescent="0.25">
      <c r="A50" s="1">
        <v>0.5</v>
      </c>
      <c r="B50" t="s">
        <v>62</v>
      </c>
      <c r="C50">
        <v>5</v>
      </c>
      <c r="D50">
        <v>3</v>
      </c>
      <c r="E50" s="2">
        <v>3.6418977436222098E-2</v>
      </c>
      <c r="F50" s="2">
        <v>1.9996000799839999E-4</v>
      </c>
      <c r="G50" s="2">
        <v>0.13849339096647201</v>
      </c>
      <c r="H50" s="2">
        <v>1.9996000799839999E-4</v>
      </c>
      <c r="I50" s="2">
        <v>6.3569675944153706E-2</v>
      </c>
      <c r="J50" s="2">
        <v>1.9996000799839999E-4</v>
      </c>
      <c r="K50" s="2">
        <v>0.13849339096647201</v>
      </c>
      <c r="L50" s="2">
        <v>1.9996000799839999E-4</v>
      </c>
      <c r="M50" s="2">
        <v>3.8013155617496401E-2</v>
      </c>
      <c r="N50" s="2">
        <v>0.61947610477904402</v>
      </c>
      <c r="O50" s="2">
        <v>0.13849339096647201</v>
      </c>
      <c r="P50" s="2">
        <v>1.9996000799839999E-4</v>
      </c>
      <c r="Q50" s="2">
        <v>2.1417680195502799E-2</v>
      </c>
      <c r="R50" s="2">
        <v>1.9996000799839999E-4</v>
      </c>
      <c r="S50" s="2">
        <v>0.13849339096647201</v>
      </c>
      <c r="T50" s="2">
        <v>1.9996000799839999E-4</v>
      </c>
      <c r="U50" s="2">
        <v>3.6353340422178998E-2</v>
      </c>
      <c r="V50" s="2">
        <v>1.9996000799839999E-4</v>
      </c>
      <c r="W50" s="2">
        <v>0.13620394125097901</v>
      </c>
      <c r="X50" s="2">
        <v>1.9996000799839999E-4</v>
      </c>
    </row>
    <row r="51" spans="1:24" x14ac:dyDescent="0.25">
      <c r="A51" s="1">
        <v>0.5</v>
      </c>
      <c r="B51" t="s">
        <v>62</v>
      </c>
      <c r="C51">
        <v>5</v>
      </c>
      <c r="D51">
        <v>5</v>
      </c>
      <c r="E51" s="2">
        <v>5.7996754335570597E-2</v>
      </c>
      <c r="F51" s="2">
        <v>1.9996000799839999E-4</v>
      </c>
      <c r="G51" s="2">
        <v>0.162180680144452</v>
      </c>
      <c r="H51" s="2">
        <v>1.9996000799839999E-4</v>
      </c>
      <c r="I51" s="2">
        <v>9.1949516343497795E-2</v>
      </c>
      <c r="J51" s="2">
        <v>1.9996000799839999E-4</v>
      </c>
      <c r="K51" s="2">
        <v>0.162180680144452</v>
      </c>
      <c r="L51" s="2">
        <v>1.9996000799839999E-4</v>
      </c>
      <c r="M51" s="2">
        <v>9.1771875840358799E-2</v>
      </c>
      <c r="N51" s="2">
        <v>5.1989602079584002E-2</v>
      </c>
      <c r="O51" s="2">
        <v>0.162180680144452</v>
      </c>
      <c r="P51" s="2">
        <v>1.9996000799839999E-4</v>
      </c>
      <c r="Q51" s="2">
        <v>4.4787124315599398E-2</v>
      </c>
      <c r="R51" s="2">
        <v>1.9996000799839999E-4</v>
      </c>
      <c r="S51" s="2">
        <v>0.162180680144452</v>
      </c>
      <c r="T51" s="2">
        <v>1.9996000799839999E-4</v>
      </c>
      <c r="U51" s="2">
        <v>2.9953189312113701E-2</v>
      </c>
      <c r="V51" s="2">
        <v>1.9996000799839999E-4</v>
      </c>
      <c r="W51" s="2">
        <v>0.13329314901720701</v>
      </c>
      <c r="X51" s="2">
        <v>1.9996000799839999E-4</v>
      </c>
    </row>
    <row r="52" spans="1:24" x14ac:dyDescent="0.25">
      <c r="A52" s="1">
        <v>0.5</v>
      </c>
      <c r="B52" t="s">
        <v>62</v>
      </c>
      <c r="C52">
        <v>5</v>
      </c>
      <c r="D52">
        <v>7</v>
      </c>
      <c r="E52" s="2">
        <v>5.2526347307428702E-2</v>
      </c>
      <c r="F52" s="2">
        <v>1.9996000799839999E-4</v>
      </c>
      <c r="G52" s="2">
        <v>0.156244953282488</v>
      </c>
      <c r="H52" s="2">
        <v>1.9996000799839999E-4</v>
      </c>
      <c r="I52" s="2">
        <v>8.0461527753909107E-2</v>
      </c>
      <c r="J52" s="2">
        <v>1.9996000799839999E-4</v>
      </c>
      <c r="K52" s="2">
        <v>0.156244953282488</v>
      </c>
      <c r="L52" s="2">
        <v>1.9996000799839999E-4</v>
      </c>
      <c r="M52" s="2">
        <v>7.6026311234992802E-2</v>
      </c>
      <c r="N52" s="2">
        <v>1.9996000799839999E-4</v>
      </c>
      <c r="O52" s="2">
        <v>0.156244953282488</v>
      </c>
      <c r="P52" s="2">
        <v>1.9996000799839999E-4</v>
      </c>
      <c r="Q52" s="2">
        <v>4.2647207478381598E-2</v>
      </c>
      <c r="R52" s="2">
        <v>1.9996000799839999E-4</v>
      </c>
      <c r="S52" s="2">
        <v>0.156244953282488</v>
      </c>
      <c r="T52" s="2">
        <v>1.9996000799839999E-4</v>
      </c>
      <c r="U52" s="2">
        <v>3.6556956253610703E-2</v>
      </c>
      <c r="V52" s="2">
        <v>1.9996000799839999E-4</v>
      </c>
      <c r="W52" s="2">
        <v>0.14649067804841501</v>
      </c>
      <c r="X52" s="2">
        <v>1.9996000799839999E-4</v>
      </c>
    </row>
    <row r="53" spans="1:24" x14ac:dyDescent="0.25">
      <c r="A53" s="1">
        <v>0.5</v>
      </c>
      <c r="B53" t="s">
        <v>62</v>
      </c>
      <c r="C53">
        <v>5</v>
      </c>
      <c r="D53">
        <v>9</v>
      </c>
      <c r="E53" s="2">
        <v>5.7398361749225198E-2</v>
      </c>
      <c r="F53" s="2">
        <v>1.9996000799839999E-4</v>
      </c>
      <c r="G53" s="2">
        <v>0.16423668256448501</v>
      </c>
      <c r="H53" s="2">
        <v>1.9996000799839999E-4</v>
      </c>
      <c r="I53" s="2">
        <v>8.8227231261377104E-2</v>
      </c>
      <c r="J53" s="2">
        <v>1.9996000799839999E-4</v>
      </c>
      <c r="K53" s="2">
        <v>0.16423668256448501</v>
      </c>
      <c r="L53" s="2">
        <v>1.9996000799839999E-4</v>
      </c>
      <c r="M53" s="2">
        <v>7.6026311234992802E-2</v>
      </c>
      <c r="N53" s="2">
        <v>1.9996000799839999E-4</v>
      </c>
      <c r="O53" s="2">
        <v>0.16423668256448501</v>
      </c>
      <c r="P53" s="2">
        <v>1.9996000799839999E-4</v>
      </c>
      <c r="Q53" s="2">
        <v>3.9532756407607797E-2</v>
      </c>
      <c r="R53" s="2">
        <v>1.9996000799839999E-4</v>
      </c>
      <c r="S53" s="2">
        <v>0.16423668256448501</v>
      </c>
      <c r="T53" s="2">
        <v>1.9996000799839999E-4</v>
      </c>
      <c r="U53" s="2">
        <v>3.6721585122018903E-2</v>
      </c>
      <c r="V53" s="2">
        <v>1.9996000799839999E-4</v>
      </c>
      <c r="W53" s="2">
        <v>0.153377594669899</v>
      </c>
      <c r="X53" s="2">
        <v>1.9996000799839999E-4</v>
      </c>
    </row>
    <row r="54" spans="1:24" x14ac:dyDescent="0.25">
      <c r="A54" s="1">
        <v>0.5</v>
      </c>
      <c r="B54" t="s">
        <v>63</v>
      </c>
      <c r="C54">
        <v>3</v>
      </c>
      <c r="D54">
        <v>1</v>
      </c>
      <c r="E54" s="2">
        <v>0.116695027357721</v>
      </c>
      <c r="F54" s="2">
        <v>1.9996000799839999E-4</v>
      </c>
      <c r="G54" s="2">
        <v>0.178759872847817</v>
      </c>
      <c r="H54" s="2">
        <v>1.9996000799839999E-4</v>
      </c>
      <c r="I54" s="2">
        <v>0.13610900098031201</v>
      </c>
      <c r="J54" s="2">
        <v>1.9996000799839999E-4</v>
      </c>
      <c r="K54" s="2">
        <v>0.178759872847817</v>
      </c>
      <c r="L54" s="2">
        <v>1.9996000799839999E-4</v>
      </c>
      <c r="M54" s="2">
        <v>0.13390543927214699</v>
      </c>
      <c r="N54" s="2">
        <v>5.1589682063587203E-2</v>
      </c>
      <c r="O54" s="2">
        <v>0.178759872847817</v>
      </c>
      <c r="P54" s="2">
        <v>1.9996000799839999E-4</v>
      </c>
      <c r="Q54" s="2">
        <v>9.5643442954976496E-2</v>
      </c>
      <c r="R54" s="2">
        <v>1.9996000799839999E-4</v>
      </c>
      <c r="S54" s="2">
        <v>0.178759872847817</v>
      </c>
      <c r="T54" s="2">
        <v>1.9996000799839999E-4</v>
      </c>
      <c r="U54" s="2">
        <v>6.5758948401901302E-2</v>
      </c>
      <c r="V54" s="2">
        <v>4.7790441911617597E-2</v>
      </c>
      <c r="W54" s="2">
        <v>0.14799268257013901</v>
      </c>
      <c r="X54" s="2">
        <v>1.9996000799839999E-4</v>
      </c>
    </row>
    <row r="55" spans="1:24" x14ac:dyDescent="0.25">
      <c r="A55" s="1">
        <v>0.5</v>
      </c>
      <c r="B55" t="s">
        <v>63</v>
      </c>
      <c r="C55">
        <v>3</v>
      </c>
      <c r="D55">
        <v>3</v>
      </c>
      <c r="E55" s="2">
        <v>0.111016437842792</v>
      </c>
      <c r="F55" s="2">
        <v>1.9996000799839999E-4</v>
      </c>
      <c r="G55" s="2">
        <v>0.177530449368418</v>
      </c>
      <c r="H55" s="2">
        <v>1.9996000799839999E-4</v>
      </c>
      <c r="I55" s="2">
        <v>0.131039775280402</v>
      </c>
      <c r="J55" s="2">
        <v>1.9996000799839999E-4</v>
      </c>
      <c r="K55" s="2">
        <v>0.177530449368418</v>
      </c>
      <c r="L55" s="2">
        <v>1.9996000799839999E-4</v>
      </c>
      <c r="M55" s="2">
        <v>0.13514118395861599</v>
      </c>
      <c r="N55" s="2">
        <v>1.9996000799839999E-4</v>
      </c>
      <c r="O55" s="2">
        <v>0.177530449368418</v>
      </c>
      <c r="P55" s="2">
        <v>1.9996000799839999E-4</v>
      </c>
      <c r="Q55" s="2">
        <v>0.102695361087338</v>
      </c>
      <c r="R55" s="2">
        <v>1.9996000799839999E-4</v>
      </c>
      <c r="S55" s="2">
        <v>0.177530449368418</v>
      </c>
      <c r="T55" s="2">
        <v>1.9996000799839999E-4</v>
      </c>
      <c r="U55" s="2">
        <v>0.13929553220257401</v>
      </c>
      <c r="V55" s="2">
        <v>1.9996000799839999E-4</v>
      </c>
      <c r="W55" s="2">
        <v>0.20874172224441101</v>
      </c>
      <c r="X55" s="2">
        <v>1.9996000799839999E-4</v>
      </c>
    </row>
    <row r="56" spans="1:24" x14ac:dyDescent="0.25">
      <c r="A56" s="1">
        <v>0.5</v>
      </c>
      <c r="B56" t="s">
        <v>63</v>
      </c>
      <c r="C56">
        <v>3</v>
      </c>
      <c r="D56">
        <v>5</v>
      </c>
      <c r="E56" s="2">
        <v>0.182651740094014</v>
      </c>
      <c r="F56" s="2">
        <v>1.9996000799839999E-4</v>
      </c>
      <c r="G56" s="2">
        <v>0.23466567584871401</v>
      </c>
      <c r="H56" s="2">
        <v>1.9996000799839999E-4</v>
      </c>
      <c r="I56" s="2">
        <v>0.19691045797187701</v>
      </c>
      <c r="J56" s="2">
        <v>1.9996000799839999E-4</v>
      </c>
      <c r="K56" s="2">
        <v>0.23466567584871401</v>
      </c>
      <c r="L56" s="2">
        <v>1.9996000799839999E-4</v>
      </c>
      <c r="M56" s="2">
        <v>0.16501204731844599</v>
      </c>
      <c r="N56" s="2">
        <v>1.9996000799839999E-4</v>
      </c>
      <c r="O56" s="2">
        <v>0.23466567584871401</v>
      </c>
      <c r="P56" s="2">
        <v>1.9996000799839999E-4</v>
      </c>
      <c r="Q56" s="2">
        <v>0.122771340815921</v>
      </c>
      <c r="R56" s="2">
        <v>1.9996000799839999E-4</v>
      </c>
      <c r="S56" s="2">
        <v>0.23466567584871401</v>
      </c>
      <c r="T56" s="2">
        <v>1.9996000799839999E-4</v>
      </c>
      <c r="U56" s="2">
        <v>0.154407541108671</v>
      </c>
      <c r="V56" s="2">
        <v>1.9996000799839999E-4</v>
      </c>
      <c r="W56" s="2">
        <v>0.22563070928382301</v>
      </c>
      <c r="X56" s="2">
        <v>1.9996000799839999E-4</v>
      </c>
    </row>
    <row r="57" spans="1:24" x14ac:dyDescent="0.25">
      <c r="A57" s="1">
        <v>0.5</v>
      </c>
      <c r="B57" t="s">
        <v>63</v>
      </c>
      <c r="C57">
        <v>3</v>
      </c>
      <c r="D57">
        <v>7</v>
      </c>
      <c r="E57" s="2">
        <v>0.176376574027172</v>
      </c>
      <c r="F57" s="2">
        <v>1.9996000799839999E-4</v>
      </c>
      <c r="G57" s="2">
        <v>0.23017244659697</v>
      </c>
      <c r="H57" s="2">
        <v>1.9996000799839999E-4</v>
      </c>
      <c r="I57" s="2">
        <v>0.18113813910570001</v>
      </c>
      <c r="J57" s="2">
        <v>1.9996000799839999E-4</v>
      </c>
      <c r="K57" s="2">
        <v>0.23017244659697</v>
      </c>
      <c r="L57" s="2">
        <v>1.9996000799839999E-4</v>
      </c>
      <c r="M57" s="2">
        <v>0.215476589707708</v>
      </c>
      <c r="N57" s="2">
        <v>1.9996000799839999E-4</v>
      </c>
      <c r="O57" s="2">
        <v>0.23017244659697</v>
      </c>
      <c r="P57" s="2">
        <v>1.9996000799839999E-4</v>
      </c>
      <c r="Q57" s="2">
        <v>0.164274933019117</v>
      </c>
      <c r="R57" s="2">
        <v>1.9996000799839999E-4</v>
      </c>
      <c r="S57" s="2">
        <v>0.23017244659697</v>
      </c>
      <c r="T57" s="2">
        <v>1.9996000799839999E-4</v>
      </c>
      <c r="U57" s="2">
        <v>0.140279797942717</v>
      </c>
      <c r="V57" s="2">
        <v>1.9996000799839999E-4</v>
      </c>
      <c r="W57" s="2">
        <v>0.21872900511649601</v>
      </c>
      <c r="X57" s="2">
        <v>1.9996000799839999E-4</v>
      </c>
    </row>
    <row r="58" spans="1:24" x14ac:dyDescent="0.25">
      <c r="A58" s="1">
        <v>0.5</v>
      </c>
      <c r="B58" t="s">
        <v>63</v>
      </c>
      <c r="C58">
        <v>3</v>
      </c>
      <c r="D58">
        <v>9</v>
      </c>
      <c r="E58" s="2">
        <v>0.157751195711059</v>
      </c>
      <c r="F58" s="2">
        <v>1.9996000799839999E-4</v>
      </c>
      <c r="G58" s="2">
        <v>0.225734738158613</v>
      </c>
      <c r="H58" s="2">
        <v>1.9996000799839999E-4</v>
      </c>
      <c r="I58" s="2">
        <v>0.17861133721251701</v>
      </c>
      <c r="J58" s="2">
        <v>1.9996000799839999E-4</v>
      </c>
      <c r="K58" s="2">
        <v>0.225734738158613</v>
      </c>
      <c r="L58" s="2">
        <v>1.9996000799839999E-4</v>
      </c>
      <c r="M58" s="2">
        <v>0.15120051164098899</v>
      </c>
      <c r="N58" s="2">
        <v>1.9996000799839999E-4</v>
      </c>
      <c r="O58" s="2">
        <v>0.225734738158613</v>
      </c>
      <c r="P58" s="2">
        <v>1.9996000799839999E-4</v>
      </c>
      <c r="Q58" s="2">
        <v>0.13069356952031499</v>
      </c>
      <c r="R58" s="2">
        <v>1.9996000799839999E-4</v>
      </c>
      <c r="S58" s="2">
        <v>0.225734738158613</v>
      </c>
      <c r="T58" s="2">
        <v>1.9996000799839999E-4</v>
      </c>
      <c r="U58" s="2">
        <v>0.18494184416884399</v>
      </c>
      <c r="V58" s="2">
        <v>1.9996000799839999E-4</v>
      </c>
      <c r="W58" s="2">
        <v>0.24693665656055</v>
      </c>
      <c r="X58" s="2">
        <v>1.9996000799839999E-4</v>
      </c>
    </row>
    <row r="59" spans="1:24" x14ac:dyDescent="0.25">
      <c r="A59" s="1">
        <v>0.5</v>
      </c>
      <c r="B59" t="s">
        <v>63</v>
      </c>
      <c r="C59">
        <v>5</v>
      </c>
      <c r="D59">
        <v>1</v>
      </c>
      <c r="E59" s="2">
        <v>7.7024872917043297E-2</v>
      </c>
      <c r="F59" s="2">
        <v>1.9996000799839999E-4</v>
      </c>
      <c r="G59" s="2">
        <v>0.150563529554921</v>
      </c>
      <c r="H59" s="2">
        <v>1.9996000799839999E-4</v>
      </c>
      <c r="I59" s="2">
        <v>8.7637564971555199E-2</v>
      </c>
      <c r="J59" s="2">
        <v>1.9996000799839999E-4</v>
      </c>
      <c r="K59" s="2">
        <v>0.150563529554921</v>
      </c>
      <c r="L59" s="2">
        <v>1.9996000799839999E-4</v>
      </c>
      <c r="M59" s="2">
        <v>8.8532868457757902E-2</v>
      </c>
      <c r="N59" s="2">
        <v>1.9996000799839999E-4</v>
      </c>
      <c r="O59" s="2">
        <v>0.150563529554921</v>
      </c>
      <c r="P59" s="2">
        <v>1.9996000799839999E-4</v>
      </c>
      <c r="Q59" s="2">
        <v>5.91389238028825E-2</v>
      </c>
      <c r="R59" s="2">
        <v>5.3589282143571199E-2</v>
      </c>
      <c r="S59" s="2">
        <v>0.150563529554921</v>
      </c>
      <c r="T59" s="2">
        <v>1.9996000799839999E-4</v>
      </c>
      <c r="U59" s="2">
        <v>0.110146938765196</v>
      </c>
      <c r="V59" s="2">
        <v>1.9996000799839999E-4</v>
      </c>
      <c r="W59" s="2">
        <v>0.19272719581549499</v>
      </c>
      <c r="X59" s="2">
        <v>1.9996000799839999E-4</v>
      </c>
    </row>
    <row r="60" spans="1:24" x14ac:dyDescent="0.25">
      <c r="A60" s="1">
        <v>0.5</v>
      </c>
      <c r="B60" t="s">
        <v>63</v>
      </c>
      <c r="C60">
        <v>5</v>
      </c>
      <c r="D60">
        <v>3</v>
      </c>
      <c r="E60" s="2">
        <v>8.1888190614438597E-2</v>
      </c>
      <c r="F60" s="2">
        <v>1.9996000799839999E-4</v>
      </c>
      <c r="G60" s="2">
        <v>0.16795844538204699</v>
      </c>
      <c r="H60" s="2">
        <v>1.9996000799839999E-4</v>
      </c>
      <c r="I60" s="2">
        <v>9.7065935542178405E-2</v>
      </c>
      <c r="J60" s="2">
        <v>1.9996000799839999E-4</v>
      </c>
      <c r="K60" s="2">
        <v>0.16795844538204699</v>
      </c>
      <c r="L60" s="2">
        <v>1.9996000799839999E-4</v>
      </c>
      <c r="M60" s="2">
        <v>0.104679910971694</v>
      </c>
      <c r="N60" s="2">
        <v>1.9996000799839999E-4</v>
      </c>
      <c r="O60" s="2">
        <v>0.16795844538204699</v>
      </c>
      <c r="P60" s="2">
        <v>1.9996000799839999E-4</v>
      </c>
      <c r="Q60" s="2">
        <v>9.0389579380425605E-2</v>
      </c>
      <c r="R60" s="2">
        <v>1.9996000799839999E-4</v>
      </c>
      <c r="S60" s="2">
        <v>0.16795844538204699</v>
      </c>
      <c r="T60" s="2">
        <v>1.9996000799839999E-4</v>
      </c>
      <c r="U60" s="2">
        <v>0.103987404597619</v>
      </c>
      <c r="V60" s="2">
        <v>1.9996000799839999E-4</v>
      </c>
      <c r="W60" s="2">
        <v>0.22104390895485801</v>
      </c>
      <c r="X60" s="2">
        <v>1.9996000799839999E-4</v>
      </c>
    </row>
    <row r="61" spans="1:24" x14ac:dyDescent="0.25">
      <c r="A61" s="1">
        <v>0.5</v>
      </c>
      <c r="B61" t="s">
        <v>63</v>
      </c>
      <c r="C61">
        <v>5</v>
      </c>
      <c r="D61">
        <v>5</v>
      </c>
      <c r="E61" s="2">
        <v>0.106560852142444</v>
      </c>
      <c r="F61" s="2">
        <v>1.9996000799839999E-4</v>
      </c>
      <c r="G61" s="2">
        <v>0.19747250501894401</v>
      </c>
      <c r="H61" s="2">
        <v>1.9996000799839999E-4</v>
      </c>
      <c r="I61" s="2">
        <v>0.12690492562857</v>
      </c>
      <c r="J61" s="2">
        <v>1.9996000799839999E-4</v>
      </c>
      <c r="K61" s="2">
        <v>0.19747250501894401</v>
      </c>
      <c r="L61" s="2">
        <v>1.9996000799839999E-4</v>
      </c>
      <c r="M61" s="2">
        <v>0.13685995653979399</v>
      </c>
      <c r="N61" s="2">
        <v>1.9996000799839999E-4</v>
      </c>
      <c r="O61" s="2">
        <v>0.19747250501894401</v>
      </c>
      <c r="P61" s="2">
        <v>1.9996000799839999E-4</v>
      </c>
      <c r="Q61" s="2">
        <v>0.123673964734727</v>
      </c>
      <c r="R61" s="2">
        <v>1.9996000799839999E-4</v>
      </c>
      <c r="S61" s="2">
        <v>0.19747250501894401</v>
      </c>
      <c r="T61" s="2">
        <v>1.9996000799839999E-4</v>
      </c>
      <c r="U61" s="2">
        <v>8.5980696186156294E-2</v>
      </c>
      <c r="V61" s="2">
        <v>1.9996000799839999E-4</v>
      </c>
      <c r="W61" s="2">
        <v>0.18497357475375101</v>
      </c>
      <c r="X61" s="2">
        <v>1.9996000799839999E-4</v>
      </c>
    </row>
    <row r="62" spans="1:24" x14ac:dyDescent="0.25">
      <c r="A62" s="1">
        <v>0.5</v>
      </c>
      <c r="B62" t="s">
        <v>63</v>
      </c>
      <c r="C62">
        <v>5</v>
      </c>
      <c r="D62">
        <v>7</v>
      </c>
      <c r="E62" s="2">
        <v>0.10626482043169901</v>
      </c>
      <c r="F62" s="2">
        <v>1.9996000799839999E-4</v>
      </c>
      <c r="G62" s="2">
        <v>0.209171577353779</v>
      </c>
      <c r="H62" s="2">
        <v>1.9996000799839999E-4</v>
      </c>
      <c r="I62" s="2">
        <v>0.13117897261952</v>
      </c>
      <c r="J62" s="2">
        <v>1.9996000799839999E-4</v>
      </c>
      <c r="K62" s="2">
        <v>0.209171577353779</v>
      </c>
      <c r="L62" s="2">
        <v>1.9996000799839999E-4</v>
      </c>
      <c r="M62" s="2">
        <v>0.12616158700692601</v>
      </c>
      <c r="N62" s="2">
        <v>1.9996000799839999E-4</v>
      </c>
      <c r="O62" s="2">
        <v>0.209171577353779</v>
      </c>
      <c r="P62" s="2">
        <v>1.9996000799839999E-4</v>
      </c>
      <c r="Q62" s="2">
        <v>0.100304722674067</v>
      </c>
      <c r="R62" s="2">
        <v>1.9996000799839999E-4</v>
      </c>
      <c r="S62" s="2">
        <v>0.209171577353779</v>
      </c>
      <c r="T62" s="2">
        <v>1.9996000799839999E-4</v>
      </c>
      <c r="U62" s="2">
        <v>0.11012101615249099</v>
      </c>
      <c r="V62" s="2">
        <v>1.9996000799839999E-4</v>
      </c>
      <c r="W62" s="2">
        <v>0.19829843664524699</v>
      </c>
      <c r="X62" s="2">
        <v>1.9996000799839999E-4</v>
      </c>
    </row>
    <row r="63" spans="1:24" x14ac:dyDescent="0.25">
      <c r="A63" s="1">
        <v>0.5</v>
      </c>
      <c r="B63" t="s">
        <v>63</v>
      </c>
      <c r="C63">
        <v>5</v>
      </c>
      <c r="D63">
        <v>9</v>
      </c>
      <c r="E63" s="2">
        <v>0.113608666704415</v>
      </c>
      <c r="F63" s="2">
        <v>1.9996000799839999E-4</v>
      </c>
      <c r="G63" s="2">
        <v>0.222615407573446</v>
      </c>
      <c r="H63" s="2">
        <v>1.9996000799839999E-4</v>
      </c>
      <c r="I63" s="2">
        <v>0.13767340254943</v>
      </c>
      <c r="J63" s="2">
        <v>1.9996000799839999E-4</v>
      </c>
      <c r="K63" s="2">
        <v>0.222615407573446</v>
      </c>
      <c r="L63" s="2">
        <v>1.9996000799839999E-4</v>
      </c>
      <c r="M63" s="2">
        <v>0.14668605932398601</v>
      </c>
      <c r="N63" s="2">
        <v>1.9996000799839999E-4</v>
      </c>
      <c r="O63" s="2">
        <v>0.222615407573446</v>
      </c>
      <c r="P63" s="2">
        <v>1.9996000799839999E-4</v>
      </c>
      <c r="Q63" s="2">
        <v>0.12867559227310399</v>
      </c>
      <c r="R63" s="2">
        <v>1.9996000799839999E-4</v>
      </c>
      <c r="S63" s="2">
        <v>0.222615407573446</v>
      </c>
      <c r="T63" s="2">
        <v>1.9996000799839999E-4</v>
      </c>
      <c r="U63" s="2">
        <v>0.13461536156905099</v>
      </c>
      <c r="V63" s="2">
        <v>1.9996000799839999E-4</v>
      </c>
      <c r="W63" s="2">
        <v>0.24489423889256801</v>
      </c>
      <c r="X63" s="2">
        <v>1.9996000799839999E-4</v>
      </c>
    </row>
    <row r="64" spans="1:24" x14ac:dyDescent="0.25">
      <c r="A64" s="1">
        <v>0.75</v>
      </c>
      <c r="B64" t="s">
        <v>62</v>
      </c>
      <c r="C64">
        <v>3</v>
      </c>
      <c r="D64">
        <v>1</v>
      </c>
      <c r="E64" s="2">
        <v>8.6351660819978998E-2</v>
      </c>
      <c r="F64" s="2">
        <v>1.9996000799839999E-4</v>
      </c>
      <c r="G64" s="2">
        <v>0.16158512191495999</v>
      </c>
      <c r="H64" s="2">
        <v>1.9996000799839999E-4</v>
      </c>
      <c r="I64" s="2">
        <v>0.10825689435239499</v>
      </c>
      <c r="J64" s="2">
        <v>1.9996000799839999E-4</v>
      </c>
      <c r="K64" s="2">
        <v>0.16158512191495999</v>
      </c>
      <c r="L64" s="2">
        <v>1.9996000799839999E-4</v>
      </c>
      <c r="M64" s="2">
        <v>2.1999999999999999E-2</v>
      </c>
      <c r="N64" s="2">
        <v>5.1989602079584002E-2</v>
      </c>
      <c r="O64" s="2">
        <v>0.16158512191495999</v>
      </c>
      <c r="P64" s="2">
        <v>1.9996000799839999E-4</v>
      </c>
      <c r="Q64" s="2">
        <v>2.7499377554586799E-2</v>
      </c>
      <c r="R64" s="2">
        <v>1.9996000799839999E-4</v>
      </c>
      <c r="S64" s="2">
        <v>0.16158512191495999</v>
      </c>
      <c r="T64" s="2">
        <v>1.9996000799839999E-4</v>
      </c>
      <c r="U64" s="2">
        <v>5.8733950246415097E-2</v>
      </c>
      <c r="V64" s="2">
        <v>1.9996000799839999E-4</v>
      </c>
      <c r="W64" s="2">
        <v>0.15583075266917101</v>
      </c>
      <c r="X64" s="2">
        <v>1.9996000799839999E-4</v>
      </c>
    </row>
    <row r="65" spans="1:24" x14ac:dyDescent="0.25">
      <c r="A65" s="1">
        <v>0.75</v>
      </c>
      <c r="B65" t="s">
        <v>62</v>
      </c>
      <c r="C65">
        <v>3</v>
      </c>
      <c r="D65">
        <v>3</v>
      </c>
      <c r="E65" s="2">
        <v>8.1009457370062404E-2</v>
      </c>
      <c r="F65" s="2">
        <v>1.9996000799839999E-4</v>
      </c>
      <c r="G65" s="2">
        <v>0.17378132818206801</v>
      </c>
      <c r="H65" s="2">
        <v>1.9996000799839999E-4</v>
      </c>
      <c r="I65" s="2">
        <v>0.110475879681741</v>
      </c>
      <c r="J65" s="2">
        <v>1.9996000799839999E-4</v>
      </c>
      <c r="K65" s="2">
        <v>0.17378132818206801</v>
      </c>
      <c r="L65" s="2">
        <v>1.9996000799839999E-4</v>
      </c>
      <c r="M65" s="2">
        <v>2.1999999999999999E-2</v>
      </c>
      <c r="N65" s="2">
        <v>1.9996000799839999E-4</v>
      </c>
      <c r="O65" s="2">
        <v>0.17378132818206801</v>
      </c>
      <c r="P65" s="2">
        <v>1.9996000799839999E-4</v>
      </c>
      <c r="Q65" s="2">
        <v>1.7249495754953E-2</v>
      </c>
      <c r="R65" s="2">
        <v>1.9996000799839999E-4</v>
      </c>
      <c r="S65" s="2">
        <v>0.17378132818206801</v>
      </c>
      <c r="T65" s="2">
        <v>1.9996000799839999E-4</v>
      </c>
      <c r="U65" s="2">
        <v>4.5833938988518702E-2</v>
      </c>
      <c r="V65" s="2">
        <v>1.9996000799839999E-4</v>
      </c>
      <c r="W65" s="2">
        <v>0.14996881742079299</v>
      </c>
      <c r="X65" s="2">
        <v>1.9996000799839999E-4</v>
      </c>
    </row>
    <row r="66" spans="1:24" x14ac:dyDescent="0.25">
      <c r="A66" s="1">
        <v>0.75</v>
      </c>
      <c r="B66" t="s">
        <v>62</v>
      </c>
      <c r="C66">
        <v>3</v>
      </c>
      <c r="D66">
        <v>5</v>
      </c>
      <c r="E66" s="2">
        <v>9.1100805027251403E-2</v>
      </c>
      <c r="F66" s="2">
        <v>1.9996000799839999E-4</v>
      </c>
      <c r="G66" s="2">
        <v>0.176377348059573</v>
      </c>
      <c r="H66" s="2">
        <v>1.9996000799839999E-4</v>
      </c>
      <c r="I66" s="2">
        <v>0.112691102128492</v>
      </c>
      <c r="J66" s="2">
        <v>1.9996000799839999E-4</v>
      </c>
      <c r="K66" s="2">
        <v>0.176377348059573</v>
      </c>
      <c r="L66" s="2">
        <v>1.9996000799839999E-4</v>
      </c>
      <c r="M66" s="2">
        <v>2.1999999999999999E-2</v>
      </c>
      <c r="N66" s="2">
        <v>1.9996000799839999E-4</v>
      </c>
      <c r="O66" s="2">
        <v>0.176377348059573</v>
      </c>
      <c r="P66" s="2">
        <v>1.9996000799839999E-4</v>
      </c>
      <c r="Q66" s="2">
        <v>2.6460378396717801E-2</v>
      </c>
      <c r="R66" s="2">
        <v>1.9996000799839999E-4</v>
      </c>
      <c r="S66" s="2">
        <v>0.176377348059573</v>
      </c>
      <c r="T66" s="2">
        <v>1.9996000799839999E-4</v>
      </c>
      <c r="U66" s="2">
        <v>5.5353501086484597E-2</v>
      </c>
      <c r="V66" s="2">
        <v>1.9996000799839999E-4</v>
      </c>
      <c r="W66" s="2">
        <v>0.149367436180048</v>
      </c>
      <c r="X66" s="2">
        <v>1.9996000799839999E-4</v>
      </c>
    </row>
    <row r="67" spans="1:24" x14ac:dyDescent="0.25">
      <c r="A67" s="1">
        <v>0.75</v>
      </c>
      <c r="B67" t="s">
        <v>62</v>
      </c>
      <c r="C67">
        <v>3</v>
      </c>
      <c r="D67">
        <v>7</v>
      </c>
      <c r="E67" s="2">
        <v>8.9442360212067903E-2</v>
      </c>
      <c r="F67" s="2">
        <v>1.9996000799839999E-4</v>
      </c>
      <c r="G67" s="2">
        <v>0.172130153034076</v>
      </c>
      <c r="H67" s="2">
        <v>1.9996000799839999E-4</v>
      </c>
      <c r="I67" s="2">
        <v>0.111843559022062</v>
      </c>
      <c r="J67" s="2">
        <v>1.9996000799839999E-4</v>
      </c>
      <c r="K67" s="2">
        <v>0.172130153034076</v>
      </c>
      <c r="L67" s="2">
        <v>1.9996000799839999E-4</v>
      </c>
      <c r="M67" s="2">
        <v>2.1999999999999999E-2</v>
      </c>
      <c r="N67" s="2">
        <v>1.9996000799839999E-4</v>
      </c>
      <c r="O67" s="2">
        <v>0.172130153034076</v>
      </c>
      <c r="P67" s="2">
        <v>1.9996000799839999E-4</v>
      </c>
      <c r="Q67" s="2">
        <v>1.34786690522624E-2</v>
      </c>
      <c r="R67" s="2">
        <v>5.1989602079584002E-2</v>
      </c>
      <c r="S67" s="2">
        <v>0.172130153034076</v>
      </c>
      <c r="T67" s="2">
        <v>1.9996000799839999E-4</v>
      </c>
      <c r="U67" s="2">
        <v>7.9916429889244703E-2</v>
      </c>
      <c r="V67" s="2">
        <v>1.9996000799839999E-4</v>
      </c>
      <c r="W67" s="2">
        <v>0.16354253308839201</v>
      </c>
      <c r="X67" s="2">
        <v>1.9996000799839999E-4</v>
      </c>
    </row>
    <row r="68" spans="1:24" x14ac:dyDescent="0.25">
      <c r="A68" s="1">
        <v>0.75</v>
      </c>
      <c r="B68" t="s">
        <v>62</v>
      </c>
      <c r="C68">
        <v>3</v>
      </c>
      <c r="D68">
        <v>9</v>
      </c>
      <c r="E68" s="2">
        <v>0.100602801831001</v>
      </c>
      <c r="F68" s="2">
        <v>1.9996000799839999E-4</v>
      </c>
      <c r="G68" s="2">
        <v>0.18066118406322201</v>
      </c>
      <c r="H68" s="2">
        <v>1.9996000799839999E-4</v>
      </c>
      <c r="I68" s="2">
        <v>0.12525366739982699</v>
      </c>
      <c r="J68" s="2">
        <v>1.9996000799839999E-4</v>
      </c>
      <c r="K68" s="2">
        <v>0.18066118406322201</v>
      </c>
      <c r="L68" s="2">
        <v>1.9996000799839999E-4</v>
      </c>
      <c r="M68" s="2">
        <v>2.1999999999999999E-2</v>
      </c>
      <c r="N68" s="2">
        <v>1.9996000799839999E-4</v>
      </c>
      <c r="O68" s="2">
        <v>0.18066118406322201</v>
      </c>
      <c r="P68" s="2">
        <v>1.9996000799839999E-4</v>
      </c>
      <c r="Q68" s="2">
        <v>3.3992403340148199E-2</v>
      </c>
      <c r="R68" s="2">
        <v>1.9996000799839999E-4</v>
      </c>
      <c r="S68" s="2">
        <v>0.18066118406322201</v>
      </c>
      <c r="T68" s="2">
        <v>1.9996000799839999E-4</v>
      </c>
      <c r="U68" s="2">
        <v>9.7614296848663407E-2</v>
      </c>
      <c r="V68" s="2">
        <v>1.9996000799839999E-4</v>
      </c>
      <c r="W68" s="2">
        <v>0.17360584926762301</v>
      </c>
      <c r="X68" s="2">
        <v>1.9996000799839999E-4</v>
      </c>
    </row>
    <row r="69" spans="1:24" x14ac:dyDescent="0.25">
      <c r="A69" s="1">
        <v>0.75</v>
      </c>
      <c r="B69" t="s">
        <v>62</v>
      </c>
      <c r="C69">
        <v>5</v>
      </c>
      <c r="D69">
        <v>1</v>
      </c>
      <c r="E69" s="2">
        <v>2.7195669968226598E-2</v>
      </c>
      <c r="F69" s="2">
        <v>1.9996000799839999E-4</v>
      </c>
      <c r="G69" s="2">
        <v>0.119905102848699</v>
      </c>
      <c r="H69" s="2">
        <v>1.9996000799839999E-4</v>
      </c>
      <c r="I69" s="2">
        <v>3.2394215562715697E-2</v>
      </c>
      <c r="J69" s="2">
        <v>1.9996000799839999E-4</v>
      </c>
      <c r="K69" s="2">
        <v>0.119905102848699</v>
      </c>
      <c r="L69" s="2">
        <v>1.9996000799839999E-4</v>
      </c>
      <c r="M69" s="2">
        <v>2.1999999999999999E-2</v>
      </c>
      <c r="N69" s="2">
        <v>1.9996000799839999E-4</v>
      </c>
      <c r="O69" s="2">
        <v>0.119905102848699</v>
      </c>
      <c r="P69" s="2">
        <v>1.9996000799839999E-4</v>
      </c>
      <c r="Q69" s="2">
        <v>1.9310716427480501E-2</v>
      </c>
      <c r="R69" s="2">
        <v>1.9996000799839999E-4</v>
      </c>
      <c r="S69" s="2">
        <v>0.119905102848699</v>
      </c>
      <c r="T69" s="2">
        <v>1.9996000799839999E-4</v>
      </c>
      <c r="U69" s="2">
        <v>2.0673702186928399E-2</v>
      </c>
      <c r="V69" s="2">
        <v>1.9996000799839999E-4</v>
      </c>
      <c r="W69" s="2">
        <v>0.110436194777229</v>
      </c>
      <c r="X69" s="2">
        <v>1.9996000799839999E-4</v>
      </c>
    </row>
    <row r="70" spans="1:24" x14ac:dyDescent="0.25">
      <c r="A70" s="1">
        <v>0.75</v>
      </c>
      <c r="B70" t="s">
        <v>62</v>
      </c>
      <c r="C70">
        <v>5</v>
      </c>
      <c r="D70">
        <v>3</v>
      </c>
      <c r="E70" s="2">
        <v>3.4823785594846599E-2</v>
      </c>
      <c r="F70" s="2">
        <v>1.9996000799839999E-4</v>
      </c>
      <c r="G70" s="2">
        <v>0.13849339096647201</v>
      </c>
      <c r="H70" s="2">
        <v>1.9996000799839999E-4</v>
      </c>
      <c r="I70" s="2">
        <v>4.3388421497299497E-2</v>
      </c>
      <c r="J70" s="2">
        <v>1.9996000799839999E-4</v>
      </c>
      <c r="K70" s="2">
        <v>0.13849339096647201</v>
      </c>
      <c r="L70" s="2">
        <v>1.9996000799839999E-4</v>
      </c>
      <c r="M70" s="2">
        <v>2.1999999999999999E-2</v>
      </c>
      <c r="N70" s="2">
        <v>1.9996000799839999E-4</v>
      </c>
      <c r="O70" s="2">
        <v>0.13849339096647201</v>
      </c>
      <c r="P70" s="2">
        <v>1.9996000799839999E-4</v>
      </c>
      <c r="Q70" s="2">
        <v>1.14682290145009E-2</v>
      </c>
      <c r="R70" s="2">
        <v>1.9996000799839999E-4</v>
      </c>
      <c r="S70" s="2">
        <v>0.13849339096647201</v>
      </c>
      <c r="T70" s="2">
        <v>1.9996000799839999E-4</v>
      </c>
      <c r="U70" s="2">
        <v>3.9048414286225699E-2</v>
      </c>
      <c r="V70" s="2">
        <v>1.9996000799839999E-4</v>
      </c>
      <c r="W70" s="2">
        <v>0.13620394125097901</v>
      </c>
      <c r="X70" s="2">
        <v>1.9996000799839999E-4</v>
      </c>
    </row>
    <row r="71" spans="1:24" x14ac:dyDescent="0.25">
      <c r="A71" s="1">
        <v>0.75</v>
      </c>
      <c r="B71" t="s">
        <v>62</v>
      </c>
      <c r="C71">
        <v>5</v>
      </c>
      <c r="D71">
        <v>5</v>
      </c>
      <c r="E71" s="2">
        <v>5.6991189174646198E-2</v>
      </c>
      <c r="F71" s="2">
        <v>1.9996000799839999E-4</v>
      </c>
      <c r="G71" s="2">
        <v>0.162180680144452</v>
      </c>
      <c r="H71" s="2">
        <v>1.9996000799839999E-4</v>
      </c>
      <c r="I71" s="2">
        <v>6.2098671467497098E-2</v>
      </c>
      <c r="J71" s="2">
        <v>1.9996000799839999E-4</v>
      </c>
      <c r="K71" s="2">
        <v>0.162180680144452</v>
      </c>
      <c r="L71" s="2">
        <v>1.9996000799839999E-4</v>
      </c>
      <c r="M71" s="2">
        <v>2.1999999999999999E-2</v>
      </c>
      <c r="N71" s="2">
        <v>1.9996000799839999E-4</v>
      </c>
      <c r="O71" s="2">
        <v>0.162180680144452</v>
      </c>
      <c r="P71" s="2">
        <v>1.9996000799839999E-4</v>
      </c>
      <c r="Q71" s="2">
        <v>2.25062874347608E-2</v>
      </c>
      <c r="R71" s="2">
        <v>1.9996000799839999E-4</v>
      </c>
      <c r="S71" s="2">
        <v>0.162180680144452</v>
      </c>
      <c r="T71" s="2">
        <v>1.9996000799839999E-4</v>
      </c>
      <c r="U71" s="2">
        <v>3.1579527516450601E-2</v>
      </c>
      <c r="V71" s="2">
        <v>1.9996000799839999E-4</v>
      </c>
      <c r="W71" s="2">
        <v>0.13329314901720701</v>
      </c>
      <c r="X71" s="2">
        <v>1.9996000799839999E-4</v>
      </c>
    </row>
    <row r="72" spans="1:24" x14ac:dyDescent="0.25">
      <c r="A72" s="1">
        <v>0.75</v>
      </c>
      <c r="B72" t="s">
        <v>62</v>
      </c>
      <c r="C72">
        <v>5</v>
      </c>
      <c r="D72">
        <v>7</v>
      </c>
      <c r="E72" s="2">
        <v>5.3121226448800699E-2</v>
      </c>
      <c r="F72" s="2">
        <v>1.9996000799839999E-4</v>
      </c>
      <c r="G72" s="2">
        <v>0.156244953282488</v>
      </c>
      <c r="H72" s="2">
        <v>1.9996000799839999E-4</v>
      </c>
      <c r="I72" s="2">
        <v>6.0098234264904397E-2</v>
      </c>
      <c r="J72" s="2">
        <v>1.9996000799839999E-4</v>
      </c>
      <c r="K72" s="2">
        <v>0.156244953282488</v>
      </c>
      <c r="L72" s="2">
        <v>1.9996000799839999E-4</v>
      </c>
      <c r="M72" s="2">
        <v>2.1999999999999999E-2</v>
      </c>
      <c r="N72" s="2">
        <v>1.9996000799839999E-4</v>
      </c>
      <c r="O72" s="2">
        <v>0.156244953282488</v>
      </c>
      <c r="P72" s="2">
        <v>1.9996000799839999E-4</v>
      </c>
      <c r="Q72" s="2">
        <v>1.8260771223924801E-2</v>
      </c>
      <c r="R72" s="2">
        <v>1.9996000799839999E-4</v>
      </c>
      <c r="S72" s="2">
        <v>0.156244953282488</v>
      </c>
      <c r="T72" s="2">
        <v>1.9996000799839999E-4</v>
      </c>
      <c r="U72" s="2">
        <v>3.7945920751380403E-2</v>
      </c>
      <c r="V72" s="2">
        <v>1.9996000799839999E-4</v>
      </c>
      <c r="W72" s="2">
        <v>0.14649067804841501</v>
      </c>
      <c r="X72" s="2">
        <v>1.9996000799839999E-4</v>
      </c>
    </row>
    <row r="73" spans="1:24" x14ac:dyDescent="0.25">
      <c r="A73" s="1">
        <v>0.75</v>
      </c>
      <c r="B73" t="s">
        <v>62</v>
      </c>
      <c r="C73">
        <v>5</v>
      </c>
      <c r="D73">
        <v>9</v>
      </c>
      <c r="E73" s="2">
        <v>5.4045365873453599E-2</v>
      </c>
      <c r="F73" s="2">
        <v>1.9996000799839999E-4</v>
      </c>
      <c r="G73" s="2">
        <v>0.16423668256448501</v>
      </c>
      <c r="H73" s="2">
        <v>1.9996000799839999E-4</v>
      </c>
      <c r="I73" s="2">
        <v>5.8430081224434501E-2</v>
      </c>
      <c r="J73" s="2">
        <v>1.9996000799839999E-4</v>
      </c>
      <c r="K73" s="2">
        <v>0.16423668256448501</v>
      </c>
      <c r="L73" s="2">
        <v>1.9996000799839999E-4</v>
      </c>
      <c r="M73" s="2">
        <v>2.1999999999999999E-2</v>
      </c>
      <c r="N73" s="2">
        <v>1.9996000799839999E-4</v>
      </c>
      <c r="O73" s="2">
        <v>0.16423668256448501</v>
      </c>
      <c r="P73" s="2">
        <v>1.9996000799839999E-4</v>
      </c>
      <c r="Q73" s="2">
        <v>2.41149626464515E-2</v>
      </c>
      <c r="R73" s="2">
        <v>1.9996000799839999E-4</v>
      </c>
      <c r="S73" s="2">
        <v>0.16423668256448501</v>
      </c>
      <c r="T73" s="2">
        <v>1.9996000799839999E-4</v>
      </c>
      <c r="U73" s="2">
        <v>4.0424029242421E-2</v>
      </c>
      <c r="V73" s="2">
        <v>1.9996000799839999E-4</v>
      </c>
      <c r="W73" s="2">
        <v>0.153377594669899</v>
      </c>
      <c r="X73" s="2">
        <v>1.9996000799839999E-4</v>
      </c>
    </row>
    <row r="74" spans="1:24" x14ac:dyDescent="0.25">
      <c r="A74" s="1">
        <v>0.75</v>
      </c>
      <c r="B74" t="s">
        <v>63</v>
      </c>
      <c r="C74">
        <v>3</v>
      </c>
      <c r="D74">
        <v>1</v>
      </c>
      <c r="E74" s="2">
        <v>0.11781527358102099</v>
      </c>
      <c r="F74" s="2">
        <v>1.9996000799839999E-4</v>
      </c>
      <c r="G74" s="2">
        <v>0.178759872847817</v>
      </c>
      <c r="H74" s="2">
        <v>1.9996000799839999E-4</v>
      </c>
      <c r="I74" s="2">
        <v>0.12802751667819401</v>
      </c>
      <c r="J74" s="2">
        <v>1.9996000799839999E-4</v>
      </c>
      <c r="K74" s="2">
        <v>0.178759872847817</v>
      </c>
      <c r="L74" s="2">
        <v>1.9996000799839999E-4</v>
      </c>
      <c r="M74" s="2">
        <v>1.2701705922171701E-2</v>
      </c>
      <c r="N74" s="2">
        <v>5.1589682063587203E-2</v>
      </c>
      <c r="O74" s="2">
        <v>0.178759872847817</v>
      </c>
      <c r="P74" s="2">
        <v>1.9996000799839999E-4</v>
      </c>
      <c r="Q74" s="2">
        <v>5.1997870409022401E-2</v>
      </c>
      <c r="R74" s="2">
        <v>0.17076584683063301</v>
      </c>
      <c r="S74" s="2">
        <v>0.178759872847817</v>
      </c>
      <c r="T74" s="2">
        <v>1.9996000799839999E-4</v>
      </c>
      <c r="U74" s="2">
        <v>6.3450818882714102E-2</v>
      </c>
      <c r="V74" s="2">
        <v>4.7790441911617597E-2</v>
      </c>
      <c r="W74" s="2">
        <v>0.14799268257013901</v>
      </c>
      <c r="X74" s="2">
        <v>1.9996000799839999E-4</v>
      </c>
    </row>
    <row r="75" spans="1:24" x14ac:dyDescent="0.25">
      <c r="A75" s="1">
        <v>0.75</v>
      </c>
      <c r="B75" t="s">
        <v>63</v>
      </c>
      <c r="C75">
        <v>3</v>
      </c>
      <c r="D75">
        <v>3</v>
      </c>
      <c r="E75" s="2">
        <v>0.107082314011678</v>
      </c>
      <c r="F75" s="2">
        <v>1.9996000799839999E-4</v>
      </c>
      <c r="G75" s="2">
        <v>0.177530449368418</v>
      </c>
      <c r="H75" s="2">
        <v>1.9996000799839999E-4</v>
      </c>
      <c r="I75" s="2">
        <v>0.120631861593369</v>
      </c>
      <c r="J75" s="2">
        <v>1.9996000799839999E-4</v>
      </c>
      <c r="K75" s="2">
        <v>0.177530449368418</v>
      </c>
      <c r="L75" s="2">
        <v>1.9996000799839999E-4</v>
      </c>
      <c r="M75" s="2">
        <v>1.7962924780409902E-2</v>
      </c>
      <c r="N75" s="2">
        <v>1.9996000799839999E-4</v>
      </c>
      <c r="O75" s="2">
        <v>0.177530449368418</v>
      </c>
      <c r="P75" s="2">
        <v>1.9996000799839999E-4</v>
      </c>
      <c r="Q75" s="2">
        <v>5.9520465834898201E-2</v>
      </c>
      <c r="R75" s="2">
        <v>5.1989602079584002E-2</v>
      </c>
      <c r="S75" s="2">
        <v>0.177530449368418</v>
      </c>
      <c r="T75" s="2">
        <v>1.9996000799839999E-4</v>
      </c>
      <c r="U75" s="2">
        <v>0.13938180156166</v>
      </c>
      <c r="V75" s="2">
        <v>1.9996000799839999E-4</v>
      </c>
      <c r="W75" s="2">
        <v>0.20874172224441101</v>
      </c>
      <c r="X75" s="2">
        <v>1.9996000799839999E-4</v>
      </c>
    </row>
    <row r="76" spans="1:24" x14ac:dyDescent="0.25">
      <c r="A76" s="1">
        <v>0.75</v>
      </c>
      <c r="B76" t="s">
        <v>63</v>
      </c>
      <c r="C76">
        <v>3</v>
      </c>
      <c r="D76">
        <v>5</v>
      </c>
      <c r="E76" s="2">
        <v>0.16958184876933799</v>
      </c>
      <c r="F76" s="2">
        <v>1.9996000799839999E-4</v>
      </c>
      <c r="G76" s="2">
        <v>0.23466567584871401</v>
      </c>
      <c r="H76" s="2">
        <v>1.9996000799839999E-4</v>
      </c>
      <c r="I76" s="2">
        <v>0.18797641180032901</v>
      </c>
      <c r="J76" s="2">
        <v>1.9996000799839999E-4</v>
      </c>
      <c r="K76" s="2">
        <v>0.23466567584871401</v>
      </c>
      <c r="L76" s="2">
        <v>1.9996000799839999E-4</v>
      </c>
      <c r="M76" s="2">
        <v>1.5332315351290799E-2</v>
      </c>
      <c r="N76" s="2">
        <v>4.7790441911617597E-2</v>
      </c>
      <c r="O76" s="2">
        <v>0.23466567584871401</v>
      </c>
      <c r="P76" s="2">
        <v>1.9996000799839999E-4</v>
      </c>
      <c r="Q76" s="2">
        <v>8.2114085742060805E-2</v>
      </c>
      <c r="R76" s="2">
        <v>1.9996000799839999E-4</v>
      </c>
      <c r="S76" s="2">
        <v>0.23466567584871401</v>
      </c>
      <c r="T76" s="2">
        <v>1.9996000799839999E-4</v>
      </c>
      <c r="U76" s="2">
        <v>0.149559261752026</v>
      </c>
      <c r="V76" s="2">
        <v>1.9996000799839999E-4</v>
      </c>
      <c r="W76" s="2">
        <v>0.22563070928382301</v>
      </c>
      <c r="X76" s="2">
        <v>1.9996000799839999E-4</v>
      </c>
    </row>
    <row r="77" spans="1:24" x14ac:dyDescent="0.25">
      <c r="A77" s="1">
        <v>0.75</v>
      </c>
      <c r="B77" t="s">
        <v>63</v>
      </c>
      <c r="C77">
        <v>3</v>
      </c>
      <c r="D77">
        <v>7</v>
      </c>
      <c r="E77" s="2">
        <v>0.16793565397881</v>
      </c>
      <c r="F77" s="2">
        <v>1.9996000799839999E-4</v>
      </c>
      <c r="G77" s="2">
        <v>0.23017244659697</v>
      </c>
      <c r="H77" s="2">
        <v>1.9996000799839999E-4</v>
      </c>
      <c r="I77" s="2">
        <v>0.178835024641889</v>
      </c>
      <c r="J77" s="2">
        <v>1.9996000799839999E-4</v>
      </c>
      <c r="K77" s="2">
        <v>0.23017244659697</v>
      </c>
      <c r="L77" s="2">
        <v>1.9996000799839999E-4</v>
      </c>
      <c r="M77" s="2">
        <v>1.5332315351290799E-2</v>
      </c>
      <c r="N77" s="2">
        <v>5.3589282143571199E-2</v>
      </c>
      <c r="O77" s="2">
        <v>0.23017244659697</v>
      </c>
      <c r="P77" s="2">
        <v>1.9996000799839999E-4</v>
      </c>
      <c r="Q77" s="2">
        <v>9.0564049620939002E-2</v>
      </c>
      <c r="R77" s="2">
        <v>1.9996000799839999E-4</v>
      </c>
      <c r="S77" s="2">
        <v>0.23017244659697</v>
      </c>
      <c r="T77" s="2">
        <v>1.9996000799839999E-4</v>
      </c>
      <c r="U77" s="2">
        <v>0.13384048331311099</v>
      </c>
      <c r="V77" s="2">
        <v>1.9996000799839999E-4</v>
      </c>
      <c r="W77" s="2">
        <v>0.21872900511649601</v>
      </c>
      <c r="X77" s="2">
        <v>1.9996000799839999E-4</v>
      </c>
    </row>
    <row r="78" spans="1:24" x14ac:dyDescent="0.25">
      <c r="A78" s="1">
        <v>0.75</v>
      </c>
      <c r="B78" t="s">
        <v>63</v>
      </c>
      <c r="C78">
        <v>3</v>
      </c>
      <c r="D78">
        <v>9</v>
      </c>
      <c r="E78" s="2">
        <v>0.15441521581617501</v>
      </c>
      <c r="F78" s="2">
        <v>1.9996000799839999E-4</v>
      </c>
      <c r="G78" s="2">
        <v>0.225734738158613</v>
      </c>
      <c r="H78" s="2">
        <v>1.9996000799839999E-4</v>
      </c>
      <c r="I78" s="2">
        <v>0.17792546692026001</v>
      </c>
      <c r="J78" s="2">
        <v>1.9996000799839999E-4</v>
      </c>
      <c r="K78" s="2">
        <v>0.225734738158613</v>
      </c>
      <c r="L78" s="2">
        <v>1.9996000799839999E-4</v>
      </c>
      <c r="M78" s="2">
        <v>1.5332315351290799E-2</v>
      </c>
      <c r="N78" s="2">
        <v>1.9996000799839999E-4</v>
      </c>
      <c r="O78" s="2">
        <v>0.225734738158613</v>
      </c>
      <c r="P78" s="2">
        <v>1.9996000799839999E-4</v>
      </c>
      <c r="Q78" s="2">
        <v>6.9027860448898706E-2</v>
      </c>
      <c r="R78" s="2">
        <v>1.9996000799839999E-4</v>
      </c>
      <c r="S78" s="2">
        <v>0.225734738158613</v>
      </c>
      <c r="T78" s="2">
        <v>1.9996000799839999E-4</v>
      </c>
      <c r="U78" s="2">
        <v>0.18022214206633599</v>
      </c>
      <c r="V78" s="2">
        <v>1.9996000799839999E-4</v>
      </c>
      <c r="W78" s="2">
        <v>0.24693665656055</v>
      </c>
      <c r="X78" s="2">
        <v>1.9996000799839999E-4</v>
      </c>
    </row>
    <row r="79" spans="1:24" x14ac:dyDescent="0.25">
      <c r="A79" s="1">
        <v>0.75</v>
      </c>
      <c r="B79" t="s">
        <v>63</v>
      </c>
      <c r="C79">
        <v>5</v>
      </c>
      <c r="D79">
        <v>1</v>
      </c>
      <c r="E79" s="2">
        <v>7.9784824995848797E-2</v>
      </c>
      <c r="F79" s="2">
        <v>1.9996000799839999E-4</v>
      </c>
      <c r="G79" s="2">
        <v>0.150563529554921</v>
      </c>
      <c r="H79" s="2">
        <v>1.9996000799839999E-4</v>
      </c>
      <c r="I79" s="2">
        <v>8.29225460199082E-2</v>
      </c>
      <c r="J79" s="2">
        <v>1.9996000799839999E-4</v>
      </c>
      <c r="K79" s="2">
        <v>0.150563529554921</v>
      </c>
      <c r="L79" s="2">
        <v>1.9996000799839999E-4</v>
      </c>
      <c r="M79" s="2">
        <v>1.8359262462655301E-2</v>
      </c>
      <c r="N79" s="2">
        <v>0.26534693061387699</v>
      </c>
      <c r="O79" s="2">
        <v>0.150563529554921</v>
      </c>
      <c r="P79" s="2">
        <v>1.9996000799839999E-4</v>
      </c>
      <c r="Q79" s="2">
        <v>5.1353397032238998E-2</v>
      </c>
      <c r="R79" s="2">
        <v>1.9996000799839999E-4</v>
      </c>
      <c r="S79" s="2">
        <v>0.150563529554921</v>
      </c>
      <c r="T79" s="2">
        <v>1.9996000799839999E-4</v>
      </c>
      <c r="U79" s="2">
        <v>0.11348222574797</v>
      </c>
      <c r="V79" s="2">
        <v>1.9996000799839999E-4</v>
      </c>
      <c r="W79" s="2">
        <v>0.19272719581549499</v>
      </c>
      <c r="X79" s="2">
        <v>1.9996000799839999E-4</v>
      </c>
    </row>
    <row r="80" spans="1:24" x14ac:dyDescent="0.25">
      <c r="A80" s="1">
        <v>0.75</v>
      </c>
      <c r="B80" t="s">
        <v>63</v>
      </c>
      <c r="C80">
        <v>5</v>
      </c>
      <c r="D80">
        <v>3</v>
      </c>
      <c r="E80" s="2">
        <v>9.51885522643868E-2</v>
      </c>
      <c r="F80" s="2">
        <v>1.9996000799839999E-4</v>
      </c>
      <c r="G80" s="2">
        <v>0.16795844538204699</v>
      </c>
      <c r="H80" s="2">
        <v>1.9996000799839999E-4</v>
      </c>
      <c r="I80" s="2">
        <v>0.112284754281277</v>
      </c>
      <c r="J80" s="2">
        <v>1.9996000799839999E-4</v>
      </c>
      <c r="K80" s="2">
        <v>0.16795844538204699</v>
      </c>
      <c r="L80" s="2">
        <v>1.9996000799839999E-4</v>
      </c>
      <c r="M80" s="2">
        <v>1.8359262462655301E-2</v>
      </c>
      <c r="N80" s="2">
        <v>1.9996000799839999E-4</v>
      </c>
      <c r="O80" s="2">
        <v>0.16795844538204699</v>
      </c>
      <c r="P80" s="2">
        <v>1.9996000799839999E-4</v>
      </c>
      <c r="Q80" s="2">
        <v>2.8123426729820399E-2</v>
      </c>
      <c r="R80" s="2">
        <v>1.9996000799839999E-4</v>
      </c>
      <c r="S80" s="2">
        <v>0.16795844538204699</v>
      </c>
      <c r="T80" s="2">
        <v>1.9996000799839999E-4</v>
      </c>
      <c r="U80" s="2">
        <v>0.114494700420968</v>
      </c>
      <c r="V80" s="2">
        <v>1.9996000799839999E-4</v>
      </c>
      <c r="W80" s="2">
        <v>0.22104390895485801</v>
      </c>
      <c r="X80" s="2">
        <v>1.9996000799839999E-4</v>
      </c>
    </row>
    <row r="81" spans="1:24" x14ac:dyDescent="0.25">
      <c r="A81" s="1">
        <v>0.75</v>
      </c>
      <c r="B81" t="s">
        <v>63</v>
      </c>
      <c r="C81">
        <v>5</v>
      </c>
      <c r="D81">
        <v>5</v>
      </c>
      <c r="E81" s="2">
        <v>0.111644308482633</v>
      </c>
      <c r="F81" s="2">
        <v>1.9996000799839999E-4</v>
      </c>
      <c r="G81" s="2">
        <v>0.19747250501894401</v>
      </c>
      <c r="H81" s="2">
        <v>1.9996000799839999E-4</v>
      </c>
      <c r="I81" s="2">
        <v>0.11981865673838001</v>
      </c>
      <c r="J81" s="2">
        <v>1.9996000799839999E-4</v>
      </c>
      <c r="K81" s="2">
        <v>0.19747250501894401</v>
      </c>
      <c r="L81" s="2">
        <v>1.9996000799839999E-4</v>
      </c>
      <c r="M81" s="2">
        <v>1.18763604028699E-2</v>
      </c>
      <c r="N81" s="2">
        <v>1.9996000799839999E-4</v>
      </c>
      <c r="O81" s="2">
        <v>0.19747250501894401</v>
      </c>
      <c r="P81" s="2">
        <v>1.9996000799839999E-4</v>
      </c>
      <c r="Q81" s="2">
        <v>3.4213603442987503E-2</v>
      </c>
      <c r="R81" s="2">
        <v>1.9996000799839999E-4</v>
      </c>
      <c r="S81" s="2">
        <v>0.19747250501894401</v>
      </c>
      <c r="T81" s="2">
        <v>1.9996000799839999E-4</v>
      </c>
      <c r="U81" s="2">
        <v>8.8153479266962403E-2</v>
      </c>
      <c r="V81" s="2">
        <v>1.9996000799839999E-4</v>
      </c>
      <c r="W81" s="2">
        <v>0.18497357475375101</v>
      </c>
      <c r="X81" s="2">
        <v>1.9996000799839999E-4</v>
      </c>
    </row>
    <row r="82" spans="1:24" x14ac:dyDescent="0.25">
      <c r="A82" s="1">
        <v>0.75</v>
      </c>
      <c r="B82" t="s">
        <v>63</v>
      </c>
      <c r="C82">
        <v>5</v>
      </c>
      <c r="D82">
        <v>7</v>
      </c>
      <c r="E82" s="2">
        <v>0.112533451986083</v>
      </c>
      <c r="F82" s="2">
        <v>1.9996000799839999E-4</v>
      </c>
      <c r="G82" s="2">
        <v>0.209171577353779</v>
      </c>
      <c r="H82" s="2">
        <v>1.9996000799839999E-4</v>
      </c>
      <c r="I82" s="2">
        <v>0.12531605783723601</v>
      </c>
      <c r="J82" s="2">
        <v>1.9996000799839999E-4</v>
      </c>
      <c r="K82" s="2">
        <v>0.209171577353779</v>
      </c>
      <c r="L82" s="2">
        <v>1.9996000799839999E-4</v>
      </c>
      <c r="M82" s="2">
        <v>1.54775742140267E-2</v>
      </c>
      <c r="N82" s="2">
        <v>1.9996000799839999E-4</v>
      </c>
      <c r="O82" s="2">
        <v>0.209171577353779</v>
      </c>
      <c r="P82" s="2">
        <v>1.9996000799839999E-4</v>
      </c>
      <c r="Q82" s="2">
        <v>3.4033283676830201E-2</v>
      </c>
      <c r="R82" s="2">
        <v>1.9996000799839999E-4</v>
      </c>
      <c r="S82" s="2">
        <v>0.209171577353779</v>
      </c>
      <c r="T82" s="2">
        <v>1.9996000799839999E-4</v>
      </c>
      <c r="U82" s="2">
        <v>0.116547651309345</v>
      </c>
      <c r="V82" s="2">
        <v>1.9996000799839999E-4</v>
      </c>
      <c r="W82" s="2">
        <v>0.19829843664524699</v>
      </c>
      <c r="X82" s="2">
        <v>1.9996000799839999E-4</v>
      </c>
    </row>
    <row r="83" spans="1:24" x14ac:dyDescent="0.25">
      <c r="A83" s="1">
        <v>0.75</v>
      </c>
      <c r="B83" t="s">
        <v>63</v>
      </c>
      <c r="C83">
        <v>5</v>
      </c>
      <c r="D83">
        <v>9</v>
      </c>
      <c r="E83" s="2">
        <v>0.12845758617581601</v>
      </c>
      <c r="F83" s="2">
        <v>1.9996000799839999E-4</v>
      </c>
      <c r="G83" s="2">
        <v>0.222615407573446</v>
      </c>
      <c r="H83" s="2">
        <v>1.9996000799839999E-4</v>
      </c>
      <c r="I83" s="2">
        <v>0.14180528848298199</v>
      </c>
      <c r="J83" s="2">
        <v>1.9996000799839999E-4</v>
      </c>
      <c r="K83" s="2">
        <v>0.222615407573446</v>
      </c>
      <c r="L83" s="2">
        <v>1.9996000799839999E-4</v>
      </c>
      <c r="M83" s="2">
        <v>1.18763604028699E-2</v>
      </c>
      <c r="N83" s="2">
        <v>1.9996000799839999E-4</v>
      </c>
      <c r="O83" s="2">
        <v>0.222615407573446</v>
      </c>
      <c r="P83" s="2">
        <v>1.9996000799839999E-4</v>
      </c>
      <c r="Q83" s="2">
        <v>3.7086256541056899E-2</v>
      </c>
      <c r="R83" s="2">
        <v>5.1989602079584002E-2</v>
      </c>
      <c r="S83" s="2">
        <v>0.222615407573446</v>
      </c>
      <c r="T83" s="2">
        <v>1.9996000799839999E-4</v>
      </c>
      <c r="U83" s="2">
        <v>0.15235789302417899</v>
      </c>
      <c r="V83" s="2">
        <v>1.9996000799839999E-4</v>
      </c>
      <c r="W83" s="2">
        <v>0.24489423889256801</v>
      </c>
      <c r="X83" s="2">
        <v>1.9996000799839999E-4</v>
      </c>
    </row>
    <row r="84" spans="1:24" x14ac:dyDescent="0.25">
      <c r="A84" s="1">
        <v>1</v>
      </c>
      <c r="B84" t="s">
        <v>62</v>
      </c>
      <c r="C84">
        <v>3</v>
      </c>
      <c r="D84">
        <v>1</v>
      </c>
      <c r="E84" s="2">
        <v>9.2625776226720496E-2</v>
      </c>
      <c r="F84" s="2">
        <v>1.9996000799839999E-4</v>
      </c>
      <c r="G84" s="2">
        <v>0.16158512191495999</v>
      </c>
      <c r="H84" s="2">
        <v>1.9996000799839999E-4</v>
      </c>
      <c r="I84" s="2">
        <v>0.117532253099593</v>
      </c>
      <c r="J84" s="2">
        <v>1.9996000799839999E-4</v>
      </c>
      <c r="K84" s="2">
        <v>0.16158512191495999</v>
      </c>
      <c r="L84" s="2">
        <v>1.9996000799839999E-4</v>
      </c>
      <c r="M84" s="2">
        <v>0</v>
      </c>
      <c r="N84" s="2">
        <v>1</v>
      </c>
      <c r="O84" s="2">
        <v>0.16158512191495999</v>
      </c>
      <c r="P84" s="2">
        <v>1.9996000799839999E-4</v>
      </c>
      <c r="Q84" s="2">
        <v>7.1349947347115805E-2</v>
      </c>
      <c r="R84" s="2">
        <v>1.9996000799839999E-4</v>
      </c>
      <c r="S84" s="2">
        <v>0.16158512191495999</v>
      </c>
      <c r="T84" s="2">
        <v>1.9996000799839999E-4</v>
      </c>
      <c r="U84" s="2">
        <v>6.0438010208361599E-2</v>
      </c>
      <c r="V84" s="2">
        <v>1.9996000799839999E-4</v>
      </c>
      <c r="W84" s="2">
        <v>0.15583075266917101</v>
      </c>
      <c r="X84" s="2">
        <v>1.9996000799839999E-4</v>
      </c>
    </row>
    <row r="85" spans="1:24" x14ac:dyDescent="0.25">
      <c r="A85" s="1">
        <v>1</v>
      </c>
      <c r="B85" t="s">
        <v>62</v>
      </c>
      <c r="C85">
        <v>3</v>
      </c>
      <c r="D85">
        <v>3</v>
      </c>
      <c r="E85" s="2">
        <v>8.9744995127291505E-2</v>
      </c>
      <c r="F85" s="2">
        <v>1.9996000799839999E-4</v>
      </c>
      <c r="G85" s="2">
        <v>0.17378132818206801</v>
      </c>
      <c r="H85" s="2">
        <v>1.9996000799839999E-4</v>
      </c>
      <c r="I85" s="2">
        <v>0.12268343748727301</v>
      </c>
      <c r="J85" s="2">
        <v>1.9996000799839999E-4</v>
      </c>
      <c r="K85" s="2">
        <v>0.17378132818206801</v>
      </c>
      <c r="L85" s="2">
        <v>1.9996000799839999E-4</v>
      </c>
      <c r="M85" s="2">
        <v>0</v>
      </c>
      <c r="N85" s="2">
        <v>1</v>
      </c>
      <c r="O85" s="2">
        <v>0.17378132818206801</v>
      </c>
      <c r="P85" s="2">
        <v>1.9996000799839999E-4</v>
      </c>
      <c r="Q85" s="2">
        <v>5.9278214272233301E-2</v>
      </c>
      <c r="R85" s="2">
        <v>1.9996000799839999E-4</v>
      </c>
      <c r="S85" s="2">
        <v>0.17378132818206801</v>
      </c>
      <c r="T85" s="2">
        <v>1.9996000799839999E-4</v>
      </c>
      <c r="U85" s="2">
        <v>5.8188298537347402E-2</v>
      </c>
      <c r="V85" s="2">
        <v>1.9996000799839999E-4</v>
      </c>
      <c r="W85" s="2">
        <v>0.14996881742079299</v>
      </c>
      <c r="X85" s="2">
        <v>1.9996000799839999E-4</v>
      </c>
    </row>
    <row r="86" spans="1:24" x14ac:dyDescent="0.25">
      <c r="A86" s="1">
        <v>1</v>
      </c>
      <c r="B86" t="s">
        <v>62</v>
      </c>
      <c r="C86">
        <v>3</v>
      </c>
      <c r="D86">
        <v>5</v>
      </c>
      <c r="E86" s="2">
        <v>0.104311210684096</v>
      </c>
      <c r="F86" s="2">
        <v>1.9996000799839999E-4</v>
      </c>
      <c r="G86" s="2">
        <v>0.176377348059573</v>
      </c>
      <c r="H86" s="2">
        <v>1.9996000799839999E-4</v>
      </c>
      <c r="I86" s="2">
        <v>0.13006279005902899</v>
      </c>
      <c r="J86" s="2">
        <v>1.9996000799839999E-4</v>
      </c>
      <c r="K86" s="2">
        <v>0.176377348059573</v>
      </c>
      <c r="L86" s="2">
        <v>1.9996000799839999E-4</v>
      </c>
      <c r="M86" s="2">
        <v>0</v>
      </c>
      <c r="N86" s="2">
        <v>1</v>
      </c>
      <c r="O86" s="2">
        <v>0.176377348059573</v>
      </c>
      <c r="P86" s="2">
        <v>1.9996000799839999E-4</v>
      </c>
      <c r="Q86" s="2">
        <v>6.6848513232224502E-2</v>
      </c>
      <c r="R86" s="2">
        <v>1.9996000799839999E-4</v>
      </c>
      <c r="S86" s="2">
        <v>0.176377348059573</v>
      </c>
      <c r="T86" s="2">
        <v>1.9996000799839999E-4</v>
      </c>
      <c r="U86" s="2">
        <v>6.3836012104370496E-2</v>
      </c>
      <c r="V86" s="2">
        <v>1.9996000799839999E-4</v>
      </c>
      <c r="W86" s="2">
        <v>0.149367436180048</v>
      </c>
      <c r="X86" s="2">
        <v>1.9996000799839999E-4</v>
      </c>
    </row>
    <row r="87" spans="1:24" x14ac:dyDescent="0.25">
      <c r="A87" s="1">
        <v>1</v>
      </c>
      <c r="B87" t="s">
        <v>62</v>
      </c>
      <c r="C87">
        <v>3</v>
      </c>
      <c r="D87">
        <v>7</v>
      </c>
      <c r="E87" s="2">
        <v>0.101949365450512</v>
      </c>
      <c r="F87" s="2">
        <v>1.9996000799839999E-4</v>
      </c>
      <c r="G87" s="2">
        <v>0.172130153034076</v>
      </c>
      <c r="H87" s="2">
        <v>1.9996000799839999E-4</v>
      </c>
      <c r="I87" s="2">
        <v>0.127745366835253</v>
      </c>
      <c r="J87" s="2">
        <v>1.9996000799839999E-4</v>
      </c>
      <c r="K87" s="2">
        <v>0.172130153034076</v>
      </c>
      <c r="L87" s="2">
        <v>1.9996000799839999E-4</v>
      </c>
      <c r="M87" s="2">
        <v>0</v>
      </c>
      <c r="N87" s="2">
        <v>1</v>
      </c>
      <c r="O87" s="2">
        <v>0.172130153034076</v>
      </c>
      <c r="P87" s="2">
        <v>1.9996000799839999E-4</v>
      </c>
      <c r="Q87" s="2">
        <v>6.5429953228932303E-2</v>
      </c>
      <c r="R87" s="2">
        <v>1.9996000799839999E-4</v>
      </c>
      <c r="S87" s="2">
        <v>0.172130153034076</v>
      </c>
      <c r="T87" s="2">
        <v>1.9996000799839999E-4</v>
      </c>
      <c r="U87" s="2">
        <v>7.6390959801960395E-2</v>
      </c>
      <c r="V87" s="2">
        <v>1.9996000799839999E-4</v>
      </c>
      <c r="W87" s="2">
        <v>0.16354253308839201</v>
      </c>
      <c r="X87" s="2">
        <v>1.9996000799839999E-4</v>
      </c>
    </row>
    <row r="88" spans="1:24" x14ac:dyDescent="0.25">
      <c r="A88" s="1">
        <v>1</v>
      </c>
      <c r="B88" t="s">
        <v>62</v>
      </c>
      <c r="C88">
        <v>3</v>
      </c>
      <c r="D88">
        <v>9</v>
      </c>
      <c r="E88" s="2">
        <v>0.10762863779111601</v>
      </c>
      <c r="F88" s="2">
        <v>1.9996000799839999E-4</v>
      </c>
      <c r="G88" s="2">
        <v>0.18066118406322201</v>
      </c>
      <c r="H88" s="2">
        <v>1.9996000799839999E-4</v>
      </c>
      <c r="I88" s="2">
        <v>0.13476473376930001</v>
      </c>
      <c r="J88" s="2">
        <v>1.9996000799839999E-4</v>
      </c>
      <c r="K88" s="2">
        <v>0.18066118406322201</v>
      </c>
      <c r="L88" s="2">
        <v>1.9996000799839999E-4</v>
      </c>
      <c r="M88" s="2">
        <v>0</v>
      </c>
      <c r="N88" s="2">
        <v>1</v>
      </c>
      <c r="O88" s="2">
        <v>0.18066118406322201</v>
      </c>
      <c r="P88" s="2">
        <v>1.9996000799839999E-4</v>
      </c>
      <c r="Q88" s="2">
        <v>6.8283988833696893E-2</v>
      </c>
      <c r="R88" s="2">
        <v>1.9996000799839999E-4</v>
      </c>
      <c r="S88" s="2">
        <v>0.18066118406322201</v>
      </c>
      <c r="T88" s="2">
        <v>1.9996000799839999E-4</v>
      </c>
      <c r="U88" s="2">
        <v>8.2799498236827099E-2</v>
      </c>
      <c r="V88" s="2">
        <v>1.9996000799839999E-4</v>
      </c>
      <c r="W88" s="2">
        <v>0.17360584926762301</v>
      </c>
      <c r="X88" s="2">
        <v>1.9996000799839999E-4</v>
      </c>
    </row>
    <row r="89" spans="1:24" x14ac:dyDescent="0.25">
      <c r="A89" s="1">
        <v>1</v>
      </c>
      <c r="B89" t="s">
        <v>62</v>
      </c>
      <c r="C89">
        <v>5</v>
      </c>
      <c r="D89">
        <v>1</v>
      </c>
      <c r="E89" s="2">
        <v>2.2072125726284499E-2</v>
      </c>
      <c r="F89" s="2">
        <v>1.9996000799839999E-4</v>
      </c>
      <c r="G89" s="2">
        <v>0.119905102848699</v>
      </c>
      <c r="H89" s="2">
        <v>1.9996000799839999E-4</v>
      </c>
      <c r="I89" s="2">
        <v>2.4472061766129101E-2</v>
      </c>
      <c r="J89" s="2">
        <v>1.9996000799839999E-4</v>
      </c>
      <c r="K89" s="2">
        <v>0.119905102848699</v>
      </c>
      <c r="L89" s="2">
        <v>1.9996000799839999E-4</v>
      </c>
      <c r="M89" s="2">
        <v>0</v>
      </c>
      <c r="N89" s="2">
        <v>1</v>
      </c>
      <c r="O89" s="2">
        <v>0.119905102848699</v>
      </c>
      <c r="P89" s="2">
        <v>1.9996000799839999E-4</v>
      </c>
      <c r="Q89" s="2">
        <v>4.199365986241E-2</v>
      </c>
      <c r="R89" s="2">
        <v>1.9996000799839999E-4</v>
      </c>
      <c r="S89" s="2">
        <v>0.119905102848699</v>
      </c>
      <c r="T89" s="2">
        <v>1.9996000799839999E-4</v>
      </c>
      <c r="U89" s="2">
        <v>2.1722448503381502E-2</v>
      </c>
      <c r="V89" s="2">
        <v>1.9996000799839999E-4</v>
      </c>
      <c r="W89" s="2">
        <v>0.110436194777229</v>
      </c>
      <c r="X89" s="2">
        <v>1.9996000799839999E-4</v>
      </c>
    </row>
    <row r="90" spans="1:24" x14ac:dyDescent="0.25">
      <c r="A90" s="1">
        <v>1</v>
      </c>
      <c r="B90" t="s">
        <v>62</v>
      </c>
      <c r="C90">
        <v>5</v>
      </c>
      <c r="D90">
        <v>3</v>
      </c>
      <c r="E90" s="2">
        <v>3.5895453069633897E-2</v>
      </c>
      <c r="F90" s="2">
        <v>1.9996000799839999E-4</v>
      </c>
      <c r="G90" s="2">
        <v>0.13849339096647201</v>
      </c>
      <c r="H90" s="2">
        <v>1.9996000799839999E-4</v>
      </c>
      <c r="I90" s="2">
        <v>4.1634256444864702E-2</v>
      </c>
      <c r="J90" s="2">
        <v>1.9996000799839999E-4</v>
      </c>
      <c r="K90" s="2">
        <v>0.13849339096647201</v>
      </c>
      <c r="L90" s="2">
        <v>1.9996000799839999E-4</v>
      </c>
      <c r="M90" s="2">
        <v>0</v>
      </c>
      <c r="N90" s="2">
        <v>1</v>
      </c>
      <c r="O90" s="2">
        <v>0.13849339096647201</v>
      </c>
      <c r="P90" s="2">
        <v>1.9996000799839999E-4</v>
      </c>
      <c r="Q90" s="2">
        <v>6.1177082709698599E-2</v>
      </c>
      <c r="R90" s="2">
        <v>1.9996000799839999E-4</v>
      </c>
      <c r="S90" s="2">
        <v>0.13849339096647201</v>
      </c>
      <c r="T90" s="2">
        <v>1.9996000799839999E-4</v>
      </c>
      <c r="U90" s="2">
        <v>3.3451093400557602E-2</v>
      </c>
      <c r="V90" s="2">
        <v>1.9996000799839999E-4</v>
      </c>
      <c r="W90" s="2">
        <v>0.13620394125097901</v>
      </c>
      <c r="X90" s="2">
        <v>1.9996000799839999E-4</v>
      </c>
    </row>
    <row r="91" spans="1:24" x14ac:dyDescent="0.25">
      <c r="A91" s="1">
        <v>1</v>
      </c>
      <c r="B91" t="s">
        <v>62</v>
      </c>
      <c r="C91">
        <v>5</v>
      </c>
      <c r="D91">
        <v>5</v>
      </c>
      <c r="E91" s="2">
        <v>6.0095420363808098E-2</v>
      </c>
      <c r="F91" s="2">
        <v>1.9996000799839999E-4</v>
      </c>
      <c r="G91" s="2">
        <v>0.162180680144452</v>
      </c>
      <c r="H91" s="2">
        <v>1.9996000799839999E-4</v>
      </c>
      <c r="I91" s="2">
        <v>7.0030234666384999E-2</v>
      </c>
      <c r="J91" s="2">
        <v>1.9996000799839999E-4</v>
      </c>
      <c r="K91" s="2">
        <v>0.162180680144452</v>
      </c>
      <c r="L91" s="2">
        <v>1.9996000799839999E-4</v>
      </c>
      <c r="M91" s="2">
        <v>0</v>
      </c>
      <c r="N91" s="2">
        <v>1</v>
      </c>
      <c r="O91" s="2">
        <v>0.162180680144452</v>
      </c>
      <c r="P91" s="2">
        <v>1.9996000799839999E-4</v>
      </c>
      <c r="Q91" s="2">
        <v>4.8455648283842301E-2</v>
      </c>
      <c r="R91" s="2">
        <v>1.9996000799839999E-4</v>
      </c>
      <c r="S91" s="2">
        <v>0.162180680144452</v>
      </c>
      <c r="T91" s="2">
        <v>1.9996000799839999E-4</v>
      </c>
      <c r="U91" s="2">
        <v>2.9136632290561199E-2</v>
      </c>
      <c r="V91" s="2">
        <v>1.9996000799839999E-4</v>
      </c>
      <c r="W91" s="2">
        <v>0.13329314901720701</v>
      </c>
      <c r="X91" s="2">
        <v>1.9996000799839999E-4</v>
      </c>
    </row>
    <row r="92" spans="1:24" x14ac:dyDescent="0.25">
      <c r="A92" s="1">
        <v>1</v>
      </c>
      <c r="B92" t="s">
        <v>62</v>
      </c>
      <c r="C92">
        <v>5</v>
      </c>
      <c r="D92">
        <v>7</v>
      </c>
      <c r="E92" s="2">
        <v>5.3380350106828497E-2</v>
      </c>
      <c r="F92" s="2">
        <v>1.9996000799839999E-4</v>
      </c>
      <c r="G92" s="2">
        <v>0.156244953282488</v>
      </c>
      <c r="H92" s="2">
        <v>1.9996000799839999E-4</v>
      </c>
      <c r="I92" s="2">
        <v>6.5056124486969999E-2</v>
      </c>
      <c r="J92" s="2">
        <v>1.9996000799839999E-4</v>
      </c>
      <c r="K92" s="2">
        <v>0.156244953282488</v>
      </c>
      <c r="L92" s="2">
        <v>1.9996000799839999E-4</v>
      </c>
      <c r="M92" s="2">
        <v>0</v>
      </c>
      <c r="N92" s="2">
        <v>1</v>
      </c>
      <c r="O92" s="2">
        <v>0.156244953282488</v>
      </c>
      <c r="P92" s="2">
        <v>1.9996000799839999E-4</v>
      </c>
      <c r="Q92" s="2">
        <v>6.19456820443696E-2</v>
      </c>
      <c r="R92" s="2">
        <v>1.9996000799839999E-4</v>
      </c>
      <c r="S92" s="2">
        <v>0.156244953282488</v>
      </c>
      <c r="T92" s="2">
        <v>1.9996000799839999E-4</v>
      </c>
      <c r="U92" s="2">
        <v>3.34879220075446E-2</v>
      </c>
      <c r="V92" s="2">
        <v>1.9996000799839999E-4</v>
      </c>
      <c r="W92" s="2">
        <v>0.14649067804841501</v>
      </c>
      <c r="X92" s="2">
        <v>1.9996000799839999E-4</v>
      </c>
    </row>
    <row r="93" spans="1:24" x14ac:dyDescent="0.25">
      <c r="A93" s="1">
        <v>1</v>
      </c>
      <c r="B93" t="s">
        <v>62</v>
      </c>
      <c r="C93">
        <v>5</v>
      </c>
      <c r="D93">
        <v>9</v>
      </c>
      <c r="E93" s="2">
        <v>5.6177731221163499E-2</v>
      </c>
      <c r="F93" s="2">
        <v>1.9996000799839999E-4</v>
      </c>
      <c r="G93" s="2">
        <v>0.16423668256448501</v>
      </c>
      <c r="H93" s="2">
        <v>1.9996000799839999E-4</v>
      </c>
      <c r="I93" s="2">
        <v>6.5044778739008796E-2</v>
      </c>
      <c r="J93" s="2">
        <v>1.9996000799839999E-4</v>
      </c>
      <c r="K93" s="2">
        <v>0.16423668256448501</v>
      </c>
      <c r="L93" s="2">
        <v>1.9996000799839999E-4</v>
      </c>
      <c r="M93" s="2">
        <v>0</v>
      </c>
      <c r="N93" s="2">
        <v>1</v>
      </c>
      <c r="O93" s="2">
        <v>0.16423668256448501</v>
      </c>
      <c r="P93" s="2">
        <v>1.9996000799839999E-4</v>
      </c>
      <c r="Q93" s="2">
        <v>5.67642402824328E-2</v>
      </c>
      <c r="R93" s="2">
        <v>1.9996000799839999E-4</v>
      </c>
      <c r="S93" s="2">
        <v>0.16423668256448501</v>
      </c>
      <c r="T93" s="2">
        <v>1.9996000799839999E-4</v>
      </c>
      <c r="U93" s="2">
        <v>3.4286092010302298E-2</v>
      </c>
      <c r="V93" s="2">
        <v>1.9996000799839999E-4</v>
      </c>
      <c r="W93" s="2">
        <v>0.153377594669899</v>
      </c>
      <c r="X93" s="2">
        <v>1.9996000799839999E-4</v>
      </c>
    </row>
    <row r="94" spans="1:24" x14ac:dyDescent="0.25">
      <c r="A94" s="1">
        <v>1</v>
      </c>
      <c r="B94" t="s">
        <v>63</v>
      </c>
      <c r="C94">
        <v>3</v>
      </c>
      <c r="D94">
        <v>1</v>
      </c>
      <c r="E94" s="2">
        <v>0.117202278020149</v>
      </c>
      <c r="F94" s="2">
        <v>1.9996000799839999E-4</v>
      </c>
      <c r="G94" s="2">
        <v>0.178759872847817</v>
      </c>
      <c r="H94" s="2">
        <v>1.9996000799839999E-4</v>
      </c>
      <c r="I94" s="2">
        <v>0.130752952767754</v>
      </c>
      <c r="J94" s="2">
        <v>1.9996000799839999E-4</v>
      </c>
      <c r="K94" s="2">
        <v>0.178759872847817</v>
      </c>
      <c r="L94" s="2">
        <v>1.9996000799839999E-4</v>
      </c>
      <c r="M94" s="2">
        <v>0.103923048454132</v>
      </c>
      <c r="N94" s="2">
        <v>0.62207558488302295</v>
      </c>
      <c r="O94" s="2">
        <v>0.178759872847817</v>
      </c>
      <c r="P94" s="2">
        <v>1.9996000799839999E-4</v>
      </c>
      <c r="Q94" s="2">
        <v>8.3504731548490196E-2</v>
      </c>
      <c r="R94" s="2">
        <v>1.9996000799839999E-4</v>
      </c>
      <c r="S94" s="2">
        <v>0.178759872847817</v>
      </c>
      <c r="T94" s="2">
        <v>1.9996000799839999E-4</v>
      </c>
      <c r="U94" s="2">
        <v>7.5664273694746098E-2</v>
      </c>
      <c r="V94" s="2">
        <v>1.9996000799839999E-4</v>
      </c>
      <c r="W94" s="2">
        <v>0.14799268257013901</v>
      </c>
      <c r="X94" s="2">
        <v>1.9996000799839999E-4</v>
      </c>
    </row>
    <row r="95" spans="1:24" x14ac:dyDescent="0.25">
      <c r="A95" s="1">
        <v>1</v>
      </c>
      <c r="B95" t="s">
        <v>63</v>
      </c>
      <c r="C95">
        <v>3</v>
      </c>
      <c r="D95">
        <v>3</v>
      </c>
      <c r="E95" s="2">
        <v>0.10741688770725399</v>
      </c>
      <c r="F95" s="2">
        <v>1.9996000799839999E-4</v>
      </c>
      <c r="G95" s="2">
        <v>0.177530449368418</v>
      </c>
      <c r="H95" s="2">
        <v>1.9996000799839999E-4</v>
      </c>
      <c r="I95" s="2">
        <v>0.12597829825368601</v>
      </c>
      <c r="J95" s="2">
        <v>1.9996000799839999E-4</v>
      </c>
      <c r="K95" s="2">
        <v>0.177530449368418</v>
      </c>
      <c r="L95" s="2">
        <v>1.9996000799839999E-4</v>
      </c>
      <c r="M95" s="2">
        <v>0</v>
      </c>
      <c r="N95" s="2">
        <v>1</v>
      </c>
      <c r="O95" s="2">
        <v>0.177530449368418</v>
      </c>
      <c r="P95" s="2">
        <v>1.9996000799839999E-4</v>
      </c>
      <c r="Q95" s="2">
        <v>7.9061421125605297E-2</v>
      </c>
      <c r="R95" s="2">
        <v>1.9996000799839999E-4</v>
      </c>
      <c r="S95" s="2">
        <v>0.177530449368418</v>
      </c>
      <c r="T95" s="2">
        <v>1.9996000799839999E-4</v>
      </c>
      <c r="U95" s="2">
        <v>0.147704852093065</v>
      </c>
      <c r="V95" s="2">
        <v>1.9996000799839999E-4</v>
      </c>
      <c r="W95" s="2">
        <v>0.20874172224441101</v>
      </c>
      <c r="X95" s="2">
        <v>1.9996000799839999E-4</v>
      </c>
    </row>
    <row r="96" spans="1:24" x14ac:dyDescent="0.25">
      <c r="A96" s="1">
        <v>1</v>
      </c>
      <c r="B96" t="s">
        <v>63</v>
      </c>
      <c r="C96">
        <v>3</v>
      </c>
      <c r="D96">
        <v>5</v>
      </c>
      <c r="E96" s="2">
        <v>0.179759107865817</v>
      </c>
      <c r="F96" s="2">
        <v>1.9996000799839999E-4</v>
      </c>
      <c r="G96" s="2">
        <v>0.23466567584871401</v>
      </c>
      <c r="H96" s="2">
        <v>1.9996000799839999E-4</v>
      </c>
      <c r="I96" s="2">
        <v>0.18850743624855201</v>
      </c>
      <c r="J96" s="2">
        <v>1.9996000799839999E-4</v>
      </c>
      <c r="K96" s="2">
        <v>0.23466567584871401</v>
      </c>
      <c r="L96" s="2">
        <v>1.9996000799839999E-4</v>
      </c>
      <c r="M96" s="2">
        <v>0.19687644179366201</v>
      </c>
      <c r="N96" s="2">
        <v>1.9996000799839999E-4</v>
      </c>
      <c r="O96" s="2">
        <v>0.23466567584871401</v>
      </c>
      <c r="P96" s="2">
        <v>1.9996000799839999E-4</v>
      </c>
      <c r="Q96" s="2">
        <v>0.123369023889223</v>
      </c>
      <c r="R96" s="2">
        <v>1.9996000799839999E-4</v>
      </c>
      <c r="S96" s="2">
        <v>0.23466567584871401</v>
      </c>
      <c r="T96" s="2">
        <v>1.9996000799839999E-4</v>
      </c>
      <c r="U96" s="2">
        <v>0.159882593323001</v>
      </c>
      <c r="V96" s="2">
        <v>1.9996000799839999E-4</v>
      </c>
      <c r="W96" s="2">
        <v>0.22563070928382301</v>
      </c>
      <c r="X96" s="2">
        <v>1.9996000799839999E-4</v>
      </c>
    </row>
    <row r="97" spans="1:24" x14ac:dyDescent="0.25">
      <c r="A97" s="1">
        <v>1</v>
      </c>
      <c r="B97" t="s">
        <v>63</v>
      </c>
      <c r="C97">
        <v>3</v>
      </c>
      <c r="D97">
        <v>7</v>
      </c>
      <c r="E97" s="2">
        <v>0.17762141851796101</v>
      </c>
      <c r="F97" s="2">
        <v>1.9996000799839999E-4</v>
      </c>
      <c r="G97" s="2">
        <v>0.23017244659697</v>
      </c>
      <c r="H97" s="2">
        <v>1.9996000799839999E-4</v>
      </c>
      <c r="I97" s="2">
        <v>0.17896959853776001</v>
      </c>
      <c r="J97" s="2">
        <v>1.9996000799839999E-4</v>
      </c>
      <c r="K97" s="2">
        <v>0.23017244659697</v>
      </c>
      <c r="L97" s="2">
        <v>1.9996000799839999E-4</v>
      </c>
      <c r="M97" s="2">
        <v>0.18590678667905899</v>
      </c>
      <c r="N97" s="2">
        <v>1.9996000799839999E-4</v>
      </c>
      <c r="O97" s="2">
        <v>0.23017244659697</v>
      </c>
      <c r="P97" s="2">
        <v>1.9996000799839999E-4</v>
      </c>
      <c r="Q97" s="2">
        <v>0.12090296117438901</v>
      </c>
      <c r="R97" s="2">
        <v>1.9996000799839999E-4</v>
      </c>
      <c r="S97" s="2">
        <v>0.23017244659697</v>
      </c>
      <c r="T97" s="2">
        <v>1.9996000799839999E-4</v>
      </c>
      <c r="U97" s="2">
        <v>0.15341414829682801</v>
      </c>
      <c r="V97" s="2">
        <v>1.9996000799839999E-4</v>
      </c>
      <c r="W97" s="2">
        <v>0.21872900511649601</v>
      </c>
      <c r="X97" s="2">
        <v>1.9996000799839999E-4</v>
      </c>
    </row>
    <row r="98" spans="1:24" x14ac:dyDescent="0.25">
      <c r="A98" s="1">
        <v>1</v>
      </c>
      <c r="B98" t="s">
        <v>63</v>
      </c>
      <c r="C98">
        <v>3</v>
      </c>
      <c r="D98">
        <v>9</v>
      </c>
      <c r="E98" s="2">
        <v>0.15793172799264299</v>
      </c>
      <c r="F98" s="2">
        <v>1.9996000799839999E-4</v>
      </c>
      <c r="G98" s="2">
        <v>0.225734738158613</v>
      </c>
      <c r="H98" s="2">
        <v>1.9996000799839999E-4</v>
      </c>
      <c r="I98" s="2">
        <v>0.17622357780264</v>
      </c>
      <c r="J98" s="2">
        <v>1.9996000799839999E-4</v>
      </c>
      <c r="K98" s="2">
        <v>0.225734738158613</v>
      </c>
      <c r="L98" s="2">
        <v>1.9996000799839999E-4</v>
      </c>
      <c r="M98" s="2">
        <v>0.19687644179366201</v>
      </c>
      <c r="N98" s="2">
        <v>5.1589682063587203E-2</v>
      </c>
      <c r="O98" s="2">
        <v>0.225734738158613</v>
      </c>
      <c r="P98" s="2">
        <v>1.9996000799839999E-4</v>
      </c>
      <c r="Q98" s="2">
        <v>9.0197457315928903E-2</v>
      </c>
      <c r="R98" s="2">
        <v>1.9996000799839999E-4</v>
      </c>
      <c r="S98" s="2">
        <v>0.225734738158613</v>
      </c>
      <c r="T98" s="2">
        <v>1.9996000799839999E-4</v>
      </c>
      <c r="U98" s="2">
        <v>0.186643297980675</v>
      </c>
      <c r="V98" s="2">
        <v>1.9996000799839999E-4</v>
      </c>
      <c r="W98" s="2">
        <v>0.24693665656055</v>
      </c>
      <c r="X98" s="2">
        <v>1.9996000799839999E-4</v>
      </c>
    </row>
    <row r="99" spans="1:24" x14ac:dyDescent="0.25">
      <c r="A99" s="1">
        <v>1</v>
      </c>
      <c r="B99" t="s">
        <v>63</v>
      </c>
      <c r="C99">
        <v>5</v>
      </c>
      <c r="D99">
        <v>1</v>
      </c>
      <c r="E99" s="2">
        <v>8.0635294740739105E-2</v>
      </c>
      <c r="F99" s="2">
        <v>1.9996000799839999E-4</v>
      </c>
      <c r="G99" s="2">
        <v>0.150563529554921</v>
      </c>
      <c r="H99" s="2">
        <v>1.9996000799839999E-4</v>
      </c>
      <c r="I99" s="2">
        <v>7.9529103825112704E-2</v>
      </c>
      <c r="J99" s="2">
        <v>1.9996000799839999E-4</v>
      </c>
      <c r="K99" s="2">
        <v>0.150563529554921</v>
      </c>
      <c r="L99" s="2">
        <v>1.9996000799839999E-4</v>
      </c>
      <c r="M99" s="2">
        <v>8.0498447189992398E-2</v>
      </c>
      <c r="N99" s="2">
        <v>0.63287342531493695</v>
      </c>
      <c r="O99" s="2">
        <v>0.150563529554921</v>
      </c>
      <c r="P99" s="2">
        <v>1.9996000799839999E-4</v>
      </c>
      <c r="Q99" s="2">
        <v>6.57021573518147E-2</v>
      </c>
      <c r="R99" s="2">
        <v>1.9996000799839999E-4</v>
      </c>
      <c r="S99" s="2">
        <v>0.150563529554921</v>
      </c>
      <c r="T99" s="2">
        <v>1.9996000799839999E-4</v>
      </c>
      <c r="U99" s="2">
        <v>0.114599563508352</v>
      </c>
      <c r="V99" s="2">
        <v>1.9996000799839999E-4</v>
      </c>
      <c r="W99" s="2">
        <v>0.19272719581549499</v>
      </c>
      <c r="X99" s="2">
        <v>1.9996000799839999E-4</v>
      </c>
    </row>
    <row r="100" spans="1:24" x14ac:dyDescent="0.25">
      <c r="A100" s="1">
        <v>1</v>
      </c>
      <c r="B100" t="s">
        <v>63</v>
      </c>
      <c r="C100">
        <v>5</v>
      </c>
      <c r="D100">
        <v>3</v>
      </c>
      <c r="E100" s="2">
        <v>9.4495292415014101E-2</v>
      </c>
      <c r="F100" s="2">
        <v>1.9996000799839999E-4</v>
      </c>
      <c r="G100" s="2">
        <v>0.16795844538204699</v>
      </c>
      <c r="H100" s="2">
        <v>1.9996000799839999E-4</v>
      </c>
      <c r="I100" s="2">
        <v>0.106174247720369</v>
      </c>
      <c r="J100" s="2">
        <v>1.9996000799839999E-4</v>
      </c>
      <c r="K100" s="2">
        <v>0.16795844538204699</v>
      </c>
      <c r="L100" s="2">
        <v>1.9996000799839999E-4</v>
      </c>
      <c r="M100" s="2">
        <v>0.16099689437998399</v>
      </c>
      <c r="N100" s="2">
        <v>5.1989602079584002E-2</v>
      </c>
      <c r="O100" s="2">
        <v>0.16795844538204699</v>
      </c>
      <c r="P100" s="2">
        <v>1.9996000799839999E-4</v>
      </c>
      <c r="Q100" s="2">
        <v>7.6980030668657606E-2</v>
      </c>
      <c r="R100" s="2">
        <v>1.9996000799839999E-4</v>
      </c>
      <c r="S100" s="2">
        <v>0.16795844538204699</v>
      </c>
      <c r="T100" s="2">
        <v>1.9996000799839999E-4</v>
      </c>
      <c r="U100" s="2">
        <v>0.12265930321422699</v>
      </c>
      <c r="V100" s="2">
        <v>1.9996000799839999E-4</v>
      </c>
      <c r="W100" s="2">
        <v>0.22104390895485801</v>
      </c>
      <c r="X100" s="2">
        <v>1.9996000799839999E-4</v>
      </c>
    </row>
    <row r="101" spans="1:24" x14ac:dyDescent="0.25">
      <c r="A101" s="1">
        <v>1</v>
      </c>
      <c r="B101" t="s">
        <v>63</v>
      </c>
      <c r="C101">
        <v>5</v>
      </c>
      <c r="D101">
        <v>5</v>
      </c>
      <c r="E101" s="2">
        <v>0.11429357975745599</v>
      </c>
      <c r="F101" s="2">
        <v>1.9996000799839999E-4</v>
      </c>
      <c r="G101" s="2">
        <v>0.19747250501894401</v>
      </c>
      <c r="H101" s="2">
        <v>1.9996000799839999E-4</v>
      </c>
      <c r="I101" s="2">
        <v>0.116676979407997</v>
      </c>
      <c r="J101" s="2">
        <v>1.9996000799839999E-4</v>
      </c>
      <c r="K101" s="2">
        <v>0.19747250501894401</v>
      </c>
      <c r="L101" s="2">
        <v>1.9996000799839999E-4</v>
      </c>
      <c r="M101" s="2">
        <v>0.16099689437998399</v>
      </c>
      <c r="N101" s="2">
        <v>1.9996000799839999E-4</v>
      </c>
      <c r="O101" s="2">
        <v>0.19747250501894401</v>
      </c>
      <c r="P101" s="2">
        <v>1.9996000799839999E-4</v>
      </c>
      <c r="Q101" s="2">
        <v>7.6677576215524901E-2</v>
      </c>
      <c r="R101" s="2">
        <v>1.9996000799839999E-4</v>
      </c>
      <c r="S101" s="2">
        <v>0.19747250501894401</v>
      </c>
      <c r="T101" s="2">
        <v>1.9996000799839999E-4</v>
      </c>
      <c r="U101" s="2">
        <v>8.9804016924412006E-2</v>
      </c>
      <c r="V101" s="2">
        <v>1.9996000799839999E-4</v>
      </c>
      <c r="W101" s="2">
        <v>0.18497357475375101</v>
      </c>
      <c r="X101" s="2">
        <v>1.9996000799839999E-4</v>
      </c>
    </row>
    <row r="102" spans="1:24" x14ac:dyDescent="0.25">
      <c r="A102" s="1">
        <v>1</v>
      </c>
      <c r="B102" t="s">
        <v>63</v>
      </c>
      <c r="C102">
        <v>5</v>
      </c>
      <c r="D102">
        <v>7</v>
      </c>
      <c r="E102" s="2">
        <v>0.119512616702142</v>
      </c>
      <c r="F102" s="2">
        <v>1.9996000799839999E-4</v>
      </c>
      <c r="G102" s="2">
        <v>0.209171577353779</v>
      </c>
      <c r="H102" s="2">
        <v>1.9996000799839999E-4</v>
      </c>
      <c r="I102" s="2">
        <v>0.12904903505210299</v>
      </c>
      <c r="J102" s="2">
        <v>1.9996000799839999E-4</v>
      </c>
      <c r="K102" s="2">
        <v>0.209171577353779</v>
      </c>
      <c r="L102" s="2">
        <v>1.9996000799839999E-4</v>
      </c>
      <c r="M102" s="2">
        <v>0.16099689437998399</v>
      </c>
      <c r="N102" s="2">
        <v>1.9996000799839999E-4</v>
      </c>
      <c r="O102" s="2">
        <v>0.209171577353779</v>
      </c>
      <c r="P102" s="2">
        <v>1.9996000799839999E-4</v>
      </c>
      <c r="Q102" s="2">
        <v>9.6496588046672896E-2</v>
      </c>
      <c r="R102" s="2">
        <v>1.9996000799839999E-4</v>
      </c>
      <c r="S102" s="2">
        <v>0.209171577353779</v>
      </c>
      <c r="T102" s="2">
        <v>1.9996000799839999E-4</v>
      </c>
      <c r="U102" s="2">
        <v>0.119090769452999</v>
      </c>
      <c r="V102" s="2">
        <v>1.9996000799839999E-4</v>
      </c>
      <c r="W102" s="2">
        <v>0.19829843664524699</v>
      </c>
      <c r="X102" s="2">
        <v>1.9996000799839999E-4</v>
      </c>
    </row>
    <row r="103" spans="1:24" x14ac:dyDescent="0.25">
      <c r="A103" s="1">
        <v>1</v>
      </c>
      <c r="B103" t="s">
        <v>63</v>
      </c>
      <c r="C103">
        <v>5</v>
      </c>
      <c r="D103">
        <v>9</v>
      </c>
      <c r="E103" s="2">
        <v>0.13135487217615099</v>
      </c>
      <c r="F103" s="2">
        <v>1.9996000799839999E-4</v>
      </c>
      <c r="G103" s="2">
        <v>0.222615407573446</v>
      </c>
      <c r="H103" s="2">
        <v>1.9996000799839999E-4</v>
      </c>
      <c r="I103" s="2">
        <v>0.13662101706041899</v>
      </c>
      <c r="J103" s="2">
        <v>1.9996000799839999E-4</v>
      </c>
      <c r="K103" s="2">
        <v>0.222615407573446</v>
      </c>
      <c r="L103" s="2">
        <v>1.9996000799839999E-4</v>
      </c>
      <c r="M103" s="2">
        <v>0.16099689437998399</v>
      </c>
      <c r="N103" s="2">
        <v>5.1589682063587203E-2</v>
      </c>
      <c r="O103" s="2">
        <v>0.222615407573446</v>
      </c>
      <c r="P103" s="2">
        <v>1.9996000799839999E-4</v>
      </c>
      <c r="Q103" s="2">
        <v>8.1889258110066102E-2</v>
      </c>
      <c r="R103" s="2">
        <v>1.9996000799839999E-4</v>
      </c>
      <c r="S103" s="2">
        <v>0.222615407573446</v>
      </c>
      <c r="T103" s="2">
        <v>1.9996000799839999E-4</v>
      </c>
      <c r="U103" s="2">
        <v>0.15520107139563699</v>
      </c>
      <c r="V103" s="2">
        <v>1.9996000799839999E-4</v>
      </c>
      <c r="W103" s="2">
        <v>0.24489423889256801</v>
      </c>
      <c r="X103" s="2">
        <v>1.9996000799839999E-4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9029-610E-42A3-865F-7D6192E2A77D}">
  <dimension ref="A1:X147"/>
  <sheetViews>
    <sheetView topLeftCell="A37" zoomScale="85" zoomScaleNormal="85" workbookViewId="0">
      <selection activeCell="F15" sqref="F15"/>
    </sheetView>
  </sheetViews>
  <sheetFormatPr defaultRowHeight="15" x14ac:dyDescent="0.25"/>
  <cols>
    <col min="2" max="2" width="13.85546875" customWidth="1"/>
    <col min="3" max="6" width="18.140625" customWidth="1"/>
    <col min="7" max="8" width="13.5703125" customWidth="1"/>
    <col min="9" max="12" width="9.42578125" bestFit="1" customWidth="1"/>
  </cols>
  <sheetData>
    <row r="1" spans="1:24" x14ac:dyDescent="0.25">
      <c r="A1" t="s">
        <v>54</v>
      </c>
      <c r="C1" t="s">
        <v>6</v>
      </c>
      <c r="D1" t="s">
        <v>6</v>
      </c>
      <c r="E1" t="s">
        <v>16</v>
      </c>
      <c r="F1" t="s">
        <v>16</v>
      </c>
      <c r="G1" t="s">
        <v>53</v>
      </c>
      <c r="H1" t="s">
        <v>53</v>
      </c>
      <c r="I1" t="s">
        <v>3</v>
      </c>
      <c r="J1" t="s">
        <v>3</v>
      </c>
      <c r="K1" t="s">
        <v>67</v>
      </c>
      <c r="L1" t="s">
        <v>67</v>
      </c>
    </row>
    <row r="2" spans="1:24" x14ac:dyDescent="0.25">
      <c r="C2" t="s">
        <v>56</v>
      </c>
      <c r="D2" t="s">
        <v>57</v>
      </c>
      <c r="E2" t="s">
        <v>56</v>
      </c>
      <c r="F2" t="s">
        <v>57</v>
      </c>
      <c r="G2" t="s">
        <v>56</v>
      </c>
      <c r="H2" t="s">
        <v>57</v>
      </c>
      <c r="I2" t="s">
        <v>56</v>
      </c>
      <c r="J2" t="s">
        <v>57</v>
      </c>
      <c r="K2" t="s">
        <v>56</v>
      </c>
      <c r="L2" t="s">
        <v>57</v>
      </c>
    </row>
    <row r="3" spans="1:24" x14ac:dyDescent="0.25">
      <c r="A3" t="s">
        <v>58</v>
      </c>
      <c r="B3" t="s">
        <v>64</v>
      </c>
    </row>
    <row r="4" spans="1:24" x14ac:dyDescent="0.25">
      <c r="A4" s="1">
        <v>0</v>
      </c>
      <c r="B4" t="s">
        <v>62</v>
      </c>
      <c r="C4" s="2">
        <v>7.2136100198925898E-2</v>
      </c>
      <c r="D4" s="2">
        <v>1.9996000799839999E-4</v>
      </c>
      <c r="E4" s="2">
        <v>9.7443135575101203E-2</v>
      </c>
      <c r="F4" s="2">
        <v>1.9996000799839999E-4</v>
      </c>
      <c r="G4" s="2">
        <v>0</v>
      </c>
      <c r="H4" s="2">
        <v>1</v>
      </c>
      <c r="I4" s="2">
        <v>6.7155127628000105E-2</v>
      </c>
      <c r="J4" s="2">
        <v>1.9996000799839999E-4</v>
      </c>
      <c r="K4" s="2">
        <v>4.3098362438003898E-2</v>
      </c>
      <c r="L4" s="2">
        <v>1.9996000799839999E-4</v>
      </c>
    </row>
    <row r="5" spans="1:24" x14ac:dyDescent="0.25">
      <c r="A5" s="1">
        <v>0</v>
      </c>
      <c r="B5" t="s">
        <v>63</v>
      </c>
      <c r="C5" s="2">
        <v>0.12015102927198799</v>
      </c>
      <c r="D5" s="2">
        <v>1.9996000799839999E-4</v>
      </c>
      <c r="E5" s="2">
        <v>0.14044589781294101</v>
      </c>
      <c r="F5" s="2">
        <v>1.9996000799839999E-4</v>
      </c>
      <c r="G5" s="2">
        <v>0.18827692370548199</v>
      </c>
      <c r="H5" s="2">
        <v>2.0195960807838399E-2</v>
      </c>
      <c r="I5" s="2">
        <v>7.7583372913854504E-2</v>
      </c>
      <c r="J5" s="2">
        <v>1.9996000799839999E-4</v>
      </c>
      <c r="K5" s="2">
        <v>0.126856244740885</v>
      </c>
      <c r="L5" s="2">
        <v>1.9996000799839999E-4</v>
      </c>
    </row>
    <row r="6" spans="1:24" x14ac:dyDescent="0.25">
      <c r="A6" s="1">
        <v>0</v>
      </c>
      <c r="B6" t="s">
        <v>68</v>
      </c>
      <c r="C6" s="2">
        <v>8.6279081011834E-2</v>
      </c>
      <c r="D6" s="2">
        <v>1.9996000799839999E-4</v>
      </c>
      <c r="E6" s="2">
        <v>0.109591832664641</v>
      </c>
      <c r="F6" s="2">
        <v>1.9996000799839999E-4</v>
      </c>
      <c r="G6" s="2">
        <v>0</v>
      </c>
      <c r="H6" s="2">
        <v>1</v>
      </c>
      <c r="I6" s="2">
        <v>5.7886379239903599E-2</v>
      </c>
      <c r="J6" s="2">
        <v>1.9996000799839999E-4</v>
      </c>
      <c r="K6" s="2">
        <v>5.9521568634797399E-2</v>
      </c>
      <c r="L6" s="2">
        <v>2.7994401119776002E-3</v>
      </c>
    </row>
    <row r="7" spans="1:24" x14ac:dyDescent="0.25">
      <c r="A7" s="1">
        <v>0</v>
      </c>
      <c r="B7" t="s">
        <v>69</v>
      </c>
      <c r="C7" s="2">
        <v>7.77693843608913E-2</v>
      </c>
      <c r="D7" s="2">
        <v>1.9996000799839999E-4</v>
      </c>
      <c r="E7" s="2">
        <v>0.112695021327716</v>
      </c>
      <c r="F7" s="2">
        <v>1.9996000799839999E-4</v>
      </c>
      <c r="G7" s="2">
        <v>0</v>
      </c>
      <c r="H7" s="2">
        <v>1</v>
      </c>
      <c r="I7" s="2">
        <v>6.5382835237318304E-2</v>
      </c>
      <c r="J7" s="2">
        <v>1.9996000799839999E-4</v>
      </c>
      <c r="K7" s="2">
        <v>6.1609740218682499E-2</v>
      </c>
      <c r="L7" s="2">
        <v>1.7196560687862399E-2</v>
      </c>
    </row>
    <row r="8" spans="1:24" x14ac:dyDescent="0.25">
      <c r="A8" s="1">
        <v>0</v>
      </c>
      <c r="B8" t="s">
        <v>70</v>
      </c>
      <c r="C8" s="2">
        <v>0.106178396286657</v>
      </c>
      <c r="D8" s="2">
        <v>1.9996000799839999E-4</v>
      </c>
      <c r="E8" s="2">
        <v>0.123126361987446</v>
      </c>
      <c r="F8" s="2">
        <v>1.9996000799839999E-4</v>
      </c>
      <c r="G8" s="2">
        <v>9.4138461852741107E-2</v>
      </c>
      <c r="H8" s="2">
        <v>0.81383723255348905</v>
      </c>
      <c r="I8" s="2">
        <v>7.388168347422E-2</v>
      </c>
      <c r="J8" s="2">
        <v>1.9996000799839999E-4</v>
      </c>
      <c r="K8" s="2">
        <v>5.7986048852787797E-2</v>
      </c>
      <c r="L8" s="2">
        <v>7.0785842831433701E-2</v>
      </c>
    </row>
    <row r="9" spans="1:24" x14ac:dyDescent="0.25">
      <c r="A9" s="1">
        <v>0</v>
      </c>
      <c r="B9" t="s">
        <v>71</v>
      </c>
      <c r="C9" s="2">
        <v>0.11023876884966501</v>
      </c>
      <c r="D9" s="2">
        <v>1.9996000799839999E-4</v>
      </c>
      <c r="E9" s="2">
        <v>0.12599554054262899</v>
      </c>
      <c r="F9" s="2">
        <v>1.9996000799839999E-4</v>
      </c>
      <c r="G9" s="2">
        <v>0</v>
      </c>
      <c r="H9" s="2">
        <v>1</v>
      </c>
      <c r="I9" s="2">
        <v>7.0792505753742102E-2</v>
      </c>
      <c r="J9" s="2">
        <v>1.9996000799839999E-4</v>
      </c>
      <c r="K9" s="2">
        <v>7.4530092652515006E-2</v>
      </c>
      <c r="L9" s="2">
        <v>1.9996000799839999E-4</v>
      </c>
      <c r="N9" t="s">
        <v>252</v>
      </c>
    </row>
    <row r="10" spans="1:24" x14ac:dyDescent="0.25">
      <c r="A10" s="1">
        <v>0</v>
      </c>
      <c r="B10" t="s">
        <v>72</v>
      </c>
      <c r="C10" s="2">
        <v>0.105128112049381</v>
      </c>
      <c r="D10" s="2">
        <v>1.9996000799839999E-4</v>
      </c>
      <c r="E10" s="2">
        <v>0.12999838509353101</v>
      </c>
      <c r="F10" s="2">
        <v>1.9996000799839999E-4</v>
      </c>
      <c r="G10" s="2">
        <v>0</v>
      </c>
      <c r="H10" s="2">
        <v>1</v>
      </c>
      <c r="I10" s="2">
        <v>7.0943865969215106E-2</v>
      </c>
      <c r="J10" s="2">
        <v>1.9996000799839999E-4</v>
      </c>
      <c r="K10" s="2">
        <v>9.4941369263001299E-2</v>
      </c>
      <c r="L10" s="2">
        <v>1.9996000799839999E-4</v>
      </c>
      <c r="N10" t="s">
        <v>6</v>
      </c>
      <c r="O10" t="s">
        <v>6</v>
      </c>
      <c r="P10" t="s">
        <v>16</v>
      </c>
      <c r="Q10" t="s">
        <v>16</v>
      </c>
      <c r="R10" t="s">
        <v>53</v>
      </c>
      <c r="S10" t="s">
        <v>53</v>
      </c>
      <c r="T10" t="s">
        <v>3</v>
      </c>
      <c r="U10" t="s">
        <v>3</v>
      </c>
      <c r="V10" t="s">
        <v>67</v>
      </c>
      <c r="W10" t="s">
        <v>67</v>
      </c>
    </row>
    <row r="11" spans="1:24" x14ac:dyDescent="0.25">
      <c r="A11" s="1">
        <v>0</v>
      </c>
      <c r="B11" t="s">
        <v>73</v>
      </c>
      <c r="C11" s="2">
        <v>0.105665453544972</v>
      </c>
      <c r="D11" s="2">
        <v>1.9996000799839999E-4</v>
      </c>
      <c r="E11" s="2">
        <v>0.12913836200044701</v>
      </c>
      <c r="F11" s="2">
        <v>1.9996000799839999E-4</v>
      </c>
      <c r="G11" s="2">
        <v>0</v>
      </c>
      <c r="H11" s="2">
        <v>1</v>
      </c>
      <c r="I11" s="2">
        <v>5.7888297151860599E-2</v>
      </c>
      <c r="J11" s="2">
        <v>1.9996000799839999E-4</v>
      </c>
      <c r="K11" s="2">
        <v>7.3633188626070406E-2</v>
      </c>
      <c r="L11" s="2">
        <v>1.9996000799839999E-4</v>
      </c>
      <c r="N11" t="s">
        <v>56</v>
      </c>
      <c r="O11" t="s">
        <v>57</v>
      </c>
      <c r="P11" t="s">
        <v>56</v>
      </c>
      <c r="Q11" t="s">
        <v>57</v>
      </c>
      <c r="R11" t="s">
        <v>56</v>
      </c>
      <c r="S11" t="s">
        <v>57</v>
      </c>
      <c r="T11" t="s">
        <v>56</v>
      </c>
      <c r="U11" t="s">
        <v>57</v>
      </c>
      <c r="V11" t="s">
        <v>56</v>
      </c>
      <c r="W11" t="s">
        <v>57</v>
      </c>
    </row>
    <row r="12" spans="1:24" x14ac:dyDescent="0.25">
      <c r="A12" s="1">
        <v>0</v>
      </c>
      <c r="B12" t="s">
        <v>74</v>
      </c>
      <c r="C12" s="2">
        <v>6.8940488869294894E-2</v>
      </c>
      <c r="D12" s="2">
        <v>1.9996000799839999E-4</v>
      </c>
      <c r="E12" s="2">
        <v>8.6080507332077894E-2</v>
      </c>
      <c r="F12" s="2">
        <v>1.9996000799839999E-4</v>
      </c>
      <c r="G12" s="2">
        <v>0</v>
      </c>
      <c r="H12" s="2">
        <v>1</v>
      </c>
      <c r="I12" s="2">
        <v>7.4069344094248299E-2</v>
      </c>
      <c r="J12" s="2">
        <v>1.9996000799839999E-4</v>
      </c>
      <c r="K12" s="2">
        <v>5.7986048852787797E-2</v>
      </c>
      <c r="L12" s="2">
        <v>8.1983603279344106E-3</v>
      </c>
      <c r="N12" s="2">
        <f>MEDIAN(C4:C12)</f>
        <v>0.105128112049381</v>
      </c>
      <c r="O12" s="2">
        <f t="shared" ref="O12:W12" si="0">MEDIAN(D4:D12)</f>
        <v>1.9996000799839999E-4</v>
      </c>
      <c r="P12" s="2">
        <f t="shared" si="0"/>
        <v>0.123126361987446</v>
      </c>
      <c r="Q12" s="2">
        <f t="shared" si="0"/>
        <v>1.9996000799839999E-4</v>
      </c>
      <c r="R12" s="2">
        <f t="shared" si="0"/>
        <v>0</v>
      </c>
      <c r="S12" s="2">
        <f t="shared" si="0"/>
        <v>1</v>
      </c>
      <c r="T12" s="2">
        <f t="shared" si="0"/>
        <v>7.0792505753742102E-2</v>
      </c>
      <c r="U12" s="2">
        <f t="shared" si="0"/>
        <v>1.9996000799839999E-4</v>
      </c>
      <c r="V12" s="2">
        <f t="shared" si="0"/>
        <v>6.1609740218682499E-2</v>
      </c>
      <c r="W12" s="2">
        <f t="shared" si="0"/>
        <v>1.9996000799839999E-4</v>
      </c>
      <c r="X12" s="2"/>
    </row>
    <row r="13" spans="1:24" x14ac:dyDescent="0.25">
      <c r="A13" s="1">
        <v>0.25</v>
      </c>
      <c r="B13" t="s">
        <v>62</v>
      </c>
      <c r="C13" s="2">
        <v>6.3428828057642495E-2</v>
      </c>
      <c r="D13" s="2">
        <v>1.9996000799839999E-4</v>
      </c>
      <c r="E13" s="2">
        <v>9.9462661889927903E-2</v>
      </c>
      <c r="F13" s="2">
        <v>1.9996000799839999E-4</v>
      </c>
      <c r="G13" s="2">
        <v>9.2678098442363993E-2</v>
      </c>
      <c r="H13" s="2">
        <v>1.9996000799839999E-4</v>
      </c>
      <c r="I13" s="2">
        <v>4.2683395297534198E-2</v>
      </c>
      <c r="J13" s="2">
        <v>1.9996000799839999E-4</v>
      </c>
      <c r="K13" s="2">
        <v>5.6815485969787097E-2</v>
      </c>
      <c r="L13" s="2">
        <v>1.9996000799839999E-4</v>
      </c>
    </row>
    <row r="14" spans="1:24" x14ac:dyDescent="0.25">
      <c r="A14" s="1">
        <v>0.25</v>
      </c>
      <c r="B14" t="s">
        <v>63</v>
      </c>
      <c r="C14" s="2">
        <v>0.11251425901065901</v>
      </c>
      <c r="D14" s="2">
        <v>1.9996000799839999E-4</v>
      </c>
      <c r="E14" s="2">
        <v>0.13537095735330301</v>
      </c>
      <c r="F14" s="2">
        <v>1.9996000799839999E-4</v>
      </c>
      <c r="G14" s="2">
        <v>0.13637692864508499</v>
      </c>
      <c r="H14" s="2">
        <v>1.9996000799839999E-4</v>
      </c>
      <c r="I14" s="2">
        <v>0.118854821182176</v>
      </c>
      <c r="J14" s="2">
        <v>1.9996000799839999E-4</v>
      </c>
      <c r="K14" s="2">
        <v>0.13371594681292101</v>
      </c>
      <c r="L14" s="2">
        <v>1.9996000799839999E-4</v>
      </c>
    </row>
    <row r="15" spans="1:24" x14ac:dyDescent="0.25">
      <c r="A15" s="1">
        <v>0.25</v>
      </c>
      <c r="B15" t="s">
        <v>68</v>
      </c>
      <c r="C15" s="2">
        <v>8.6915001167191294E-2</v>
      </c>
      <c r="D15" s="2">
        <v>1.9996000799839999E-4</v>
      </c>
      <c r="E15" s="2">
        <v>0.10681050273272701</v>
      </c>
      <c r="F15" s="2">
        <v>1.9996000799839999E-4</v>
      </c>
      <c r="G15" s="2">
        <v>8.5746287712114705E-2</v>
      </c>
      <c r="H15" s="2">
        <v>9.8180363927214506E-2</v>
      </c>
      <c r="I15" s="2">
        <v>4.4199697251701302E-2</v>
      </c>
      <c r="J15" s="2">
        <v>4.7990401919616003E-3</v>
      </c>
      <c r="K15" s="2">
        <v>7.3575097936278006E-2</v>
      </c>
      <c r="L15" s="2">
        <v>1.9996000799839999E-4</v>
      </c>
    </row>
    <row r="16" spans="1:24" x14ac:dyDescent="0.25">
      <c r="A16" s="1">
        <v>0.25</v>
      </c>
      <c r="B16" t="s">
        <v>69</v>
      </c>
      <c r="C16" s="2">
        <v>8.1665310762111906E-2</v>
      </c>
      <c r="D16" s="2">
        <v>1.9996000799839999E-4</v>
      </c>
      <c r="E16" s="2">
        <v>0.110733127017853</v>
      </c>
      <c r="F16" s="2">
        <v>1.9996000799839999E-4</v>
      </c>
      <c r="G16" s="2">
        <v>0.10911020859092101</v>
      </c>
      <c r="H16" s="2">
        <v>1.9996000799839999E-4</v>
      </c>
      <c r="I16" s="2">
        <v>3.8258604128017903E-2</v>
      </c>
      <c r="J16" s="2">
        <v>9.9780043991201703E-2</v>
      </c>
      <c r="K16" s="2">
        <v>8.7848370530979603E-2</v>
      </c>
      <c r="L16" s="2">
        <v>1.9996000799839999E-4</v>
      </c>
    </row>
    <row r="17" spans="1:23" x14ac:dyDescent="0.25">
      <c r="A17" s="1">
        <v>0.25</v>
      </c>
      <c r="B17" t="s">
        <v>70</v>
      </c>
      <c r="C17" s="2">
        <v>0.102552848438361</v>
      </c>
      <c r="D17" s="2">
        <v>1.9996000799839999E-4</v>
      </c>
      <c r="E17" s="2">
        <v>0.12199605144109001</v>
      </c>
      <c r="F17" s="2">
        <v>1.9996000799839999E-4</v>
      </c>
      <c r="G17" s="2">
        <v>0.10751744044572401</v>
      </c>
      <c r="H17" s="2">
        <v>1.9996000799839999E-4</v>
      </c>
      <c r="I17" s="2">
        <v>7.3481862561873307E-2</v>
      </c>
      <c r="J17" s="2">
        <v>1.9996000799839999E-4</v>
      </c>
      <c r="K17" s="2">
        <v>7.8302341660678204E-2</v>
      </c>
      <c r="L17" s="2">
        <v>1.9996000799839999E-4</v>
      </c>
    </row>
    <row r="18" spans="1:23" x14ac:dyDescent="0.25">
      <c r="A18" s="1">
        <v>0.25</v>
      </c>
      <c r="B18" t="s">
        <v>71</v>
      </c>
      <c r="C18" s="2">
        <v>0.1029870263766</v>
      </c>
      <c r="D18" s="2">
        <v>1.9996000799839999E-4</v>
      </c>
      <c r="E18" s="2">
        <v>0.124624783102528</v>
      </c>
      <c r="F18" s="2">
        <v>1.9996000799839999E-4</v>
      </c>
      <c r="G18" s="2">
        <v>0.100936126507879</v>
      </c>
      <c r="H18" s="2">
        <v>1.1997600479904001E-3</v>
      </c>
      <c r="I18" s="2">
        <v>6.8194305568456196E-2</v>
      </c>
      <c r="J18" s="2">
        <v>3.5992801439711998E-3</v>
      </c>
      <c r="K18" s="2">
        <v>9.4891802827103203E-2</v>
      </c>
      <c r="L18" s="2">
        <v>1.9996000799839999E-4</v>
      </c>
    </row>
    <row r="19" spans="1:23" x14ac:dyDescent="0.25">
      <c r="A19" s="1">
        <v>0.25</v>
      </c>
      <c r="B19" t="s">
        <v>72</v>
      </c>
      <c r="C19" s="2">
        <v>0.10619218681604201</v>
      </c>
      <c r="D19" s="2">
        <v>1.9996000799839999E-4</v>
      </c>
      <c r="E19" s="2">
        <v>0.131417666559142</v>
      </c>
      <c r="F19" s="2">
        <v>1.9996000799839999E-4</v>
      </c>
      <c r="G19" s="2">
        <v>0.114150113832971</v>
      </c>
      <c r="H19" s="2">
        <v>1.9996000799839999E-4</v>
      </c>
      <c r="I19" s="2">
        <v>7.4500676332282606E-2</v>
      </c>
      <c r="J19" s="2">
        <v>1.9996000799839999E-4</v>
      </c>
      <c r="K19" s="2">
        <v>0.107919549595149</v>
      </c>
      <c r="L19" s="2">
        <v>1.9996000799839999E-4</v>
      </c>
    </row>
    <row r="20" spans="1:23" x14ac:dyDescent="0.25">
      <c r="A20" s="1">
        <v>0.25</v>
      </c>
      <c r="B20" t="s">
        <v>73</v>
      </c>
      <c r="C20" s="2">
        <v>0.10837498776165599</v>
      </c>
      <c r="D20" s="2">
        <v>1.9996000799839999E-4</v>
      </c>
      <c r="E20" s="2">
        <v>0.13075021709719301</v>
      </c>
      <c r="F20" s="2">
        <v>1.9996000799839999E-4</v>
      </c>
      <c r="G20" s="2">
        <v>0.112583302491977</v>
      </c>
      <c r="H20" s="2">
        <v>1.9996000799839999E-4</v>
      </c>
      <c r="I20" s="2">
        <v>6.9712249331035994E-2</v>
      </c>
      <c r="J20" s="2">
        <v>1.9996000799839999E-4</v>
      </c>
      <c r="K20" s="2">
        <v>9.6716755593962506E-2</v>
      </c>
      <c r="L20" s="2">
        <v>1.9996000799839999E-4</v>
      </c>
    </row>
    <row r="21" spans="1:23" x14ac:dyDescent="0.25">
      <c r="A21" s="1">
        <v>0.25</v>
      </c>
      <c r="B21" t="s">
        <v>74</v>
      </c>
      <c r="C21" s="2">
        <v>6.2043043157017197E-2</v>
      </c>
      <c r="D21" s="2">
        <v>1.9996000799839999E-4</v>
      </c>
      <c r="E21" s="2">
        <v>8.9516476819011398E-2</v>
      </c>
      <c r="F21" s="2">
        <v>1.9996000799839999E-4</v>
      </c>
      <c r="G21" s="2">
        <v>8.1616481178742206E-2</v>
      </c>
      <c r="H21" s="2">
        <v>1.9996000799839999E-4</v>
      </c>
      <c r="I21" s="2">
        <v>4.5819181590034903E-2</v>
      </c>
      <c r="J21" s="2">
        <v>2.3995200959808002E-3</v>
      </c>
      <c r="K21" s="2">
        <v>7.4254033290739901E-2</v>
      </c>
      <c r="L21" s="2">
        <v>1.9996000799839999E-4</v>
      </c>
      <c r="N21" s="2">
        <f>MEDIAN(C13:C21)</f>
        <v>0.102552848438361</v>
      </c>
      <c r="O21" s="2">
        <f t="shared" ref="O21" si="1">MEDIAN(D13:D21)</f>
        <v>1.9996000799839999E-4</v>
      </c>
      <c r="P21" s="2">
        <f t="shared" ref="P21" si="2">MEDIAN(E13:E21)</f>
        <v>0.12199605144109001</v>
      </c>
      <c r="Q21" s="2">
        <f t="shared" ref="Q21" si="3">MEDIAN(F13:F21)</f>
        <v>1.9996000799839999E-4</v>
      </c>
      <c r="R21" s="2">
        <f t="shared" ref="R21" si="4">MEDIAN(G13:G21)</f>
        <v>0.10751744044572401</v>
      </c>
      <c r="S21" s="2">
        <f t="shared" ref="S21" si="5">MEDIAN(H13:H21)</f>
        <v>1.9996000799839999E-4</v>
      </c>
      <c r="T21" s="2">
        <f t="shared" ref="T21" si="6">MEDIAN(I13:I21)</f>
        <v>6.8194305568456196E-2</v>
      </c>
      <c r="U21" s="2">
        <f t="shared" ref="U21" si="7">MEDIAN(J13:J21)</f>
        <v>1.9996000799839999E-4</v>
      </c>
      <c r="V21" s="2">
        <f t="shared" ref="V21" si="8">MEDIAN(K13:K21)</f>
        <v>8.7848370530979603E-2</v>
      </c>
      <c r="W21" s="2">
        <f t="shared" ref="W21" si="9">MEDIAN(L13:L21)</f>
        <v>1.9996000799839999E-4</v>
      </c>
    </row>
    <row r="22" spans="1:23" x14ac:dyDescent="0.25">
      <c r="A22" s="1">
        <v>0.5</v>
      </c>
      <c r="B22" t="s">
        <v>62</v>
      </c>
      <c r="C22" s="2">
        <v>7.9767613407802598E-2</v>
      </c>
      <c r="D22" s="2">
        <v>1.9996000799839999E-4</v>
      </c>
      <c r="E22" s="2">
        <v>0.107325094130649</v>
      </c>
      <c r="F22" s="2">
        <v>1.9996000799839999E-4</v>
      </c>
      <c r="G22" s="2">
        <v>2.1999999999999999E-2</v>
      </c>
      <c r="H22" s="2">
        <v>1.9996000799839999E-4</v>
      </c>
      <c r="I22" s="2">
        <v>2.1888533443876701E-2</v>
      </c>
      <c r="J22" s="2">
        <v>1.9996000799839999E-4</v>
      </c>
      <c r="K22" s="2">
        <v>3.9084281806080097E-2</v>
      </c>
      <c r="L22" s="2">
        <v>1.9996000799839999E-4</v>
      </c>
    </row>
    <row r="23" spans="1:23" x14ac:dyDescent="0.25">
      <c r="A23" s="1">
        <v>0.5</v>
      </c>
      <c r="B23" t="s">
        <v>63</v>
      </c>
      <c r="C23" s="2">
        <v>0.113122819107741</v>
      </c>
      <c r="D23" s="2">
        <v>1.9996000799839999E-4</v>
      </c>
      <c r="E23" s="2">
        <v>0.12592983440590799</v>
      </c>
      <c r="F23" s="2">
        <v>1.9996000799839999E-4</v>
      </c>
      <c r="G23" s="2">
        <v>1.7041126723312601E-2</v>
      </c>
      <c r="H23" s="2">
        <v>1.9996000799839999E-4</v>
      </c>
      <c r="I23" s="2">
        <v>4.3248071255196099E-2</v>
      </c>
      <c r="J23" s="2">
        <v>1.9996000799839999E-4</v>
      </c>
      <c r="K23" s="2">
        <v>0.12107626827052601</v>
      </c>
      <c r="L23" s="2">
        <v>1.9996000799839999E-4</v>
      </c>
    </row>
    <row r="24" spans="1:23" x14ac:dyDescent="0.25">
      <c r="A24" s="1">
        <v>0.5</v>
      </c>
      <c r="B24" t="s">
        <v>68</v>
      </c>
      <c r="C24" s="2">
        <v>8.6351660819978998E-2</v>
      </c>
      <c r="D24" s="2">
        <v>1.9996000799839999E-4</v>
      </c>
      <c r="E24" s="2">
        <v>0.10825689435239499</v>
      </c>
      <c r="F24" s="2">
        <v>1.9996000799839999E-4</v>
      </c>
      <c r="G24" s="2">
        <v>2.0838699100999E-2</v>
      </c>
      <c r="H24" s="2">
        <v>1.9996000799839999E-4</v>
      </c>
      <c r="I24" s="2">
        <v>2.9104286517144699E-2</v>
      </c>
      <c r="J24" s="2">
        <v>6.39872025594881E-3</v>
      </c>
      <c r="K24" s="2">
        <v>6.5758948401901302E-2</v>
      </c>
      <c r="L24" s="2">
        <v>1.9996000799839999E-4</v>
      </c>
    </row>
    <row r="25" spans="1:23" x14ac:dyDescent="0.25">
      <c r="A25" s="1">
        <v>0.5</v>
      </c>
      <c r="B25" t="s">
        <v>69</v>
      </c>
      <c r="C25" s="2">
        <v>8.2410459979729303E-2</v>
      </c>
      <c r="D25" s="2">
        <v>1.9996000799839999E-4</v>
      </c>
      <c r="E25" s="2">
        <v>0.110475879681741</v>
      </c>
      <c r="F25" s="2">
        <v>1.9996000799839999E-4</v>
      </c>
      <c r="G25" s="2">
        <v>2.1999999999999999E-2</v>
      </c>
      <c r="H25" s="2">
        <v>1.9996000799839999E-4</v>
      </c>
      <c r="I25" s="2">
        <v>2.3087655847030701E-2</v>
      </c>
      <c r="J25" s="2">
        <v>5.9988002399520004E-4</v>
      </c>
      <c r="K25" s="2">
        <v>6.9914761266419198E-2</v>
      </c>
      <c r="L25" s="2">
        <v>1.9996000799839999E-4</v>
      </c>
    </row>
    <row r="26" spans="1:23" x14ac:dyDescent="0.25">
      <c r="A26" s="1">
        <v>0.5</v>
      </c>
      <c r="B26" t="s">
        <v>70</v>
      </c>
      <c r="C26" s="2">
        <v>9.8903649739773503E-2</v>
      </c>
      <c r="D26" s="2">
        <v>1.9996000799839999E-4</v>
      </c>
      <c r="E26" s="2">
        <v>0.11639148209499101</v>
      </c>
      <c r="F26" s="2">
        <v>1.9996000799839999E-4</v>
      </c>
      <c r="G26" s="2">
        <v>2.1999999999999999E-2</v>
      </c>
      <c r="H26" s="2">
        <v>1.9996000799839999E-4</v>
      </c>
      <c r="I26" s="2">
        <v>3.4213603442987503E-2</v>
      </c>
      <c r="J26" s="2">
        <v>9.9980003999200094E-4</v>
      </c>
      <c r="K26" s="2">
        <v>6.8243348144158694E-2</v>
      </c>
      <c r="L26" s="2">
        <v>1.8596280743851199E-2</v>
      </c>
    </row>
    <row r="27" spans="1:23" x14ac:dyDescent="0.25">
      <c r="A27" s="1">
        <v>0.5</v>
      </c>
      <c r="B27" t="s">
        <v>71</v>
      </c>
      <c r="C27" s="2">
        <v>0.103859623748701</v>
      </c>
      <c r="D27" s="2">
        <v>1.9996000799839999E-4</v>
      </c>
      <c r="E27" s="2">
        <v>0.119861968029391</v>
      </c>
      <c r="F27" s="2">
        <v>1.9996000799839999E-4</v>
      </c>
      <c r="G27" s="2">
        <v>2.0838699100999E-2</v>
      </c>
      <c r="H27" s="2">
        <v>1.9996000799839999E-4</v>
      </c>
      <c r="I27" s="2">
        <v>3.0540379331287001E-2</v>
      </c>
      <c r="J27" s="2">
        <v>7.7984403119376097E-3</v>
      </c>
      <c r="K27" s="2">
        <v>9.0736503804911606E-2</v>
      </c>
      <c r="L27" s="2">
        <v>1.9996000799839999E-4</v>
      </c>
    </row>
    <row r="28" spans="1:23" x14ac:dyDescent="0.25">
      <c r="A28" s="1">
        <v>0.5</v>
      </c>
      <c r="B28" t="s">
        <v>72</v>
      </c>
      <c r="C28" s="2">
        <v>0.105419688945966</v>
      </c>
      <c r="D28" s="2">
        <v>1.9996000799839999E-4</v>
      </c>
      <c r="E28" s="2">
        <v>0.12588429145732699</v>
      </c>
      <c r="F28" s="2">
        <v>1.9996000799839999E-4</v>
      </c>
      <c r="G28" s="2">
        <v>2.0838699100999E-2</v>
      </c>
      <c r="H28" s="2">
        <v>1.9996000799839999E-4</v>
      </c>
      <c r="I28" s="2">
        <v>3.7086256541056899E-2</v>
      </c>
      <c r="J28" s="2">
        <v>7.9984003199360103E-4</v>
      </c>
      <c r="K28" s="2">
        <v>0.104088701571195</v>
      </c>
      <c r="L28" s="2">
        <v>1.9996000799839999E-4</v>
      </c>
    </row>
    <row r="29" spans="1:23" x14ac:dyDescent="0.25">
      <c r="A29" s="1">
        <v>0.5</v>
      </c>
      <c r="B29" t="s">
        <v>73</v>
      </c>
      <c r="C29" s="2">
        <v>0.10409952022605699</v>
      </c>
      <c r="D29" s="2">
        <v>1.9996000799839999E-4</v>
      </c>
      <c r="E29" s="2">
        <v>0.12284483835172499</v>
      </c>
      <c r="F29" s="2">
        <v>1.9996000799839999E-4</v>
      </c>
      <c r="G29" s="2">
        <v>2.1999999999999999E-2</v>
      </c>
      <c r="H29" s="2">
        <v>1.9996000799839999E-4</v>
      </c>
      <c r="I29" s="2">
        <v>3.9388323155824703E-2</v>
      </c>
      <c r="J29" s="2">
        <v>1.9996000799839999E-4</v>
      </c>
      <c r="K29" s="2">
        <v>9.2075456157010405E-2</v>
      </c>
      <c r="L29" s="2">
        <v>1.9996000799839999E-4</v>
      </c>
    </row>
    <row r="30" spans="1:23" x14ac:dyDescent="0.25">
      <c r="A30" s="1">
        <v>0.5</v>
      </c>
      <c r="B30" t="s">
        <v>74</v>
      </c>
      <c r="C30" s="2">
        <v>6.4997647830463703E-2</v>
      </c>
      <c r="D30" s="2">
        <v>1.9996000799839999E-4</v>
      </c>
      <c r="E30" s="2">
        <v>6.5925701689447197E-2</v>
      </c>
      <c r="F30" s="2">
        <v>1.9996000799839999E-4</v>
      </c>
      <c r="G30" s="2">
        <v>2.1999999999999999E-2</v>
      </c>
      <c r="H30" s="2">
        <v>1.9996000799839999E-4</v>
      </c>
      <c r="I30" s="2">
        <v>2.7927748608178898E-2</v>
      </c>
      <c r="J30" s="2">
        <v>1.9996000799839999E-4</v>
      </c>
      <c r="K30" s="2">
        <v>5.21209034714743E-2</v>
      </c>
      <c r="L30" s="2">
        <v>8.7982403519296093E-3</v>
      </c>
      <c r="N30" s="2">
        <f>MEDIAN(C22:C30)</f>
        <v>9.8903649739773503E-2</v>
      </c>
      <c r="O30" s="2">
        <f t="shared" ref="O30" si="10">MEDIAN(D22:D30)</f>
        <v>1.9996000799839999E-4</v>
      </c>
      <c r="P30" s="2">
        <f t="shared" ref="P30" si="11">MEDIAN(E22:E30)</f>
        <v>0.11639148209499101</v>
      </c>
      <c r="Q30" s="2">
        <f t="shared" ref="Q30" si="12">MEDIAN(F22:F30)</f>
        <v>1.9996000799839999E-4</v>
      </c>
      <c r="R30" s="2">
        <f t="shared" ref="R30" si="13">MEDIAN(G22:G30)</f>
        <v>2.1999999999999999E-2</v>
      </c>
      <c r="S30" s="2">
        <f t="shared" ref="S30" si="14">MEDIAN(H22:H30)</f>
        <v>1.9996000799839999E-4</v>
      </c>
      <c r="T30" s="2">
        <f t="shared" ref="T30" si="15">MEDIAN(I22:I30)</f>
        <v>3.0540379331287001E-2</v>
      </c>
      <c r="U30" s="2">
        <f t="shared" ref="U30" si="16">MEDIAN(J22:J30)</f>
        <v>5.9988002399520004E-4</v>
      </c>
      <c r="V30" s="2">
        <f t="shared" ref="V30" si="17">MEDIAN(K22:K30)</f>
        <v>6.9914761266419198E-2</v>
      </c>
      <c r="W30" s="2">
        <f t="shared" ref="W30" si="18">MEDIAN(L22:L30)</f>
        <v>1.9996000799839999E-4</v>
      </c>
    </row>
    <row r="31" spans="1:23" x14ac:dyDescent="0.25">
      <c r="A31" s="1">
        <v>0.75</v>
      </c>
      <c r="B31" t="s">
        <v>62</v>
      </c>
      <c r="C31" s="2">
        <v>8.2539780055294804E-2</v>
      </c>
      <c r="D31" s="2">
        <v>1.9996000799839999E-4</v>
      </c>
      <c r="E31" s="2">
        <v>0.103617415655947</v>
      </c>
      <c r="F31" s="2">
        <v>1.9996000799839999E-4</v>
      </c>
      <c r="G31" s="2">
        <v>0</v>
      </c>
      <c r="H31" s="2">
        <v>1</v>
      </c>
      <c r="I31" s="2">
        <v>5.9900749660451599E-2</v>
      </c>
      <c r="J31" s="2">
        <v>1.9996000799839999E-4</v>
      </c>
      <c r="K31" s="2">
        <v>4.0715850030829497E-2</v>
      </c>
      <c r="L31" s="2">
        <v>1.9996000799839999E-4</v>
      </c>
    </row>
    <row r="32" spans="1:23" x14ac:dyDescent="0.25">
      <c r="A32" s="1">
        <v>0.75</v>
      </c>
      <c r="B32" t="s">
        <v>63</v>
      </c>
      <c r="C32" s="2">
        <v>0.121535887640161</v>
      </c>
      <c r="D32" s="2">
        <v>1.9996000799839999E-4</v>
      </c>
      <c r="E32" s="2">
        <v>0.13167200303786</v>
      </c>
      <c r="F32" s="2">
        <v>1.9996000799839999E-4</v>
      </c>
      <c r="G32" s="2">
        <v>0.16099689437998399</v>
      </c>
      <c r="H32" s="2">
        <v>1.9996000799839999E-4</v>
      </c>
      <c r="I32" s="2">
        <v>8.65754050546126E-2</v>
      </c>
      <c r="J32" s="2">
        <v>1.9996000799839999E-4</v>
      </c>
      <c r="K32" s="2">
        <v>0.119769548715673</v>
      </c>
      <c r="L32" s="2">
        <v>1.9996000799839999E-4</v>
      </c>
    </row>
    <row r="33" spans="1:23" x14ac:dyDescent="0.25">
      <c r="A33" s="1">
        <v>0.75</v>
      </c>
      <c r="B33" t="s">
        <v>68</v>
      </c>
      <c r="C33" s="2">
        <v>9.0931287829108198E-2</v>
      </c>
      <c r="D33" s="2">
        <v>1.9996000799839999E-4</v>
      </c>
      <c r="E33" s="2">
        <v>0.105049132397523</v>
      </c>
      <c r="F33" s="2">
        <v>1.9996000799839999E-4</v>
      </c>
      <c r="G33" s="2">
        <v>0</v>
      </c>
      <c r="H33" s="2">
        <v>1</v>
      </c>
      <c r="I33" s="2">
        <v>6.8631190365671502E-2</v>
      </c>
      <c r="J33" s="2">
        <v>1.9996000799839999E-4</v>
      </c>
      <c r="K33" s="2">
        <v>6.3450818882714102E-2</v>
      </c>
      <c r="L33" s="2">
        <v>1.9996000799839999E-4</v>
      </c>
    </row>
    <row r="34" spans="1:23" x14ac:dyDescent="0.25">
      <c r="A34" s="1">
        <v>0.75</v>
      </c>
      <c r="B34" t="s">
        <v>69</v>
      </c>
      <c r="C34" s="2">
        <v>9.0092231706684303E-2</v>
      </c>
      <c r="D34" s="2">
        <v>1.9996000799839999E-4</v>
      </c>
      <c r="E34" s="2">
        <v>0.11073362009102</v>
      </c>
      <c r="F34" s="2">
        <v>1.9996000799839999E-4</v>
      </c>
      <c r="G34" s="2">
        <v>0</v>
      </c>
      <c r="H34" s="2">
        <v>1</v>
      </c>
      <c r="I34" s="2">
        <v>6.1828606678618003E-2</v>
      </c>
      <c r="J34" s="2">
        <v>1.9996000799839999E-4</v>
      </c>
      <c r="K34" s="2">
        <v>8.0501704982638395E-2</v>
      </c>
      <c r="L34" s="2">
        <v>1.9996000799839999E-4</v>
      </c>
    </row>
    <row r="35" spans="1:23" x14ac:dyDescent="0.25">
      <c r="A35" s="1">
        <v>0.75</v>
      </c>
      <c r="B35" t="s">
        <v>70</v>
      </c>
      <c r="C35" s="2">
        <v>0.108159014550719</v>
      </c>
      <c r="D35" s="2">
        <v>1.9996000799839999E-4</v>
      </c>
      <c r="E35" s="2">
        <v>0.124995518995473</v>
      </c>
      <c r="F35" s="2">
        <v>1.9996000799839999E-4</v>
      </c>
      <c r="G35" s="2">
        <v>8.0498447189992398E-2</v>
      </c>
      <c r="H35" s="2">
        <v>0.81383723255348905</v>
      </c>
      <c r="I35" s="2">
        <v>7.5857822817500004E-2</v>
      </c>
      <c r="J35" s="2">
        <v>1.9996000799839999E-4</v>
      </c>
      <c r="K35" s="2">
        <v>6.6161063594560907E-2</v>
      </c>
      <c r="L35" s="2">
        <v>1.8596280743851199E-2</v>
      </c>
    </row>
    <row r="36" spans="1:23" x14ac:dyDescent="0.25">
      <c r="A36" s="1">
        <v>0.75</v>
      </c>
      <c r="B36" t="s">
        <v>71</v>
      </c>
      <c r="C36" s="2">
        <v>0.11118566602865999</v>
      </c>
      <c r="D36" s="2">
        <v>1.9996000799839999E-4</v>
      </c>
      <c r="E36" s="2">
        <v>0.12904903505210299</v>
      </c>
      <c r="F36" s="2">
        <v>1.9996000799839999E-4</v>
      </c>
      <c r="G36" s="2">
        <v>0.16099689437998399</v>
      </c>
      <c r="H36" s="2">
        <v>0.22215556888622201</v>
      </c>
      <c r="I36" s="2">
        <v>7.9367435089391397E-2</v>
      </c>
      <c r="J36" s="2">
        <v>1.9996000799839999E-4</v>
      </c>
      <c r="K36" s="2">
        <v>9.2704233929699995E-2</v>
      </c>
      <c r="L36" s="2">
        <v>1.9996000799839999E-4</v>
      </c>
    </row>
    <row r="37" spans="1:23" x14ac:dyDescent="0.25">
      <c r="A37" s="1">
        <v>0.75</v>
      </c>
      <c r="B37" t="s">
        <v>72</v>
      </c>
      <c r="C37" s="2">
        <v>0.111234421951715</v>
      </c>
      <c r="D37" s="2">
        <v>1.9996000799839999E-4</v>
      </c>
      <c r="E37" s="2">
        <v>0.13476473376930001</v>
      </c>
      <c r="F37" s="2">
        <v>1.9996000799839999E-4</v>
      </c>
      <c r="G37" s="2">
        <v>0</v>
      </c>
      <c r="H37" s="2">
        <v>1</v>
      </c>
      <c r="I37" s="2">
        <v>6.8311881005324704E-2</v>
      </c>
      <c r="J37" s="2">
        <v>1.9996000799839999E-4</v>
      </c>
      <c r="K37" s="2">
        <v>0.109666827849696</v>
      </c>
      <c r="L37" s="2">
        <v>1.9996000799839999E-4</v>
      </c>
    </row>
    <row r="38" spans="1:23" x14ac:dyDescent="0.25">
      <c r="A38" s="1">
        <v>0.75</v>
      </c>
      <c r="B38" t="s">
        <v>73</v>
      </c>
      <c r="C38" s="2">
        <v>0.107476703668761</v>
      </c>
      <c r="D38" s="2">
        <v>1.9996000799839999E-4</v>
      </c>
      <c r="E38" s="2">
        <v>0.13411819407532</v>
      </c>
      <c r="F38" s="2">
        <v>1.9996000799839999E-4</v>
      </c>
      <c r="G38" s="2">
        <v>0</v>
      </c>
      <c r="H38" s="2">
        <v>1</v>
      </c>
      <c r="I38" s="2">
        <v>7.6038164902332506E-2</v>
      </c>
      <c r="J38" s="2">
        <v>1.9996000799839999E-4</v>
      </c>
      <c r="K38" s="2">
        <v>9.4916974207292004E-2</v>
      </c>
      <c r="L38" s="2">
        <v>1.9996000799839999E-4</v>
      </c>
    </row>
    <row r="39" spans="1:23" x14ac:dyDescent="0.25">
      <c r="A39" s="1">
        <v>0.75</v>
      </c>
      <c r="B39" t="s">
        <v>74</v>
      </c>
      <c r="C39" s="2">
        <v>6.6136874834253498E-2</v>
      </c>
      <c r="D39" s="2">
        <v>1.9996000799839999E-4</v>
      </c>
      <c r="E39" s="2">
        <v>7.4537101543525094E-2</v>
      </c>
      <c r="F39" s="2">
        <v>1.9996000799839999E-4</v>
      </c>
      <c r="G39" s="2">
        <v>0</v>
      </c>
      <c r="H39" s="2">
        <v>1</v>
      </c>
      <c r="I39" s="2">
        <v>6.19456820443696E-2</v>
      </c>
      <c r="J39" s="2">
        <v>1.9996000799839999E-4</v>
      </c>
      <c r="K39" s="2">
        <v>5.19715118997746E-2</v>
      </c>
      <c r="L39" s="2">
        <v>0.13817236552689399</v>
      </c>
      <c r="N39" s="2">
        <f>MEDIAN(C31:C39)</f>
        <v>0.107476703668761</v>
      </c>
      <c r="O39" s="2">
        <f t="shared" ref="O39" si="19">MEDIAN(D31:D39)</f>
        <v>1.9996000799839999E-4</v>
      </c>
      <c r="P39" s="2">
        <f t="shared" ref="P39" si="20">MEDIAN(E31:E39)</f>
        <v>0.124995518995473</v>
      </c>
      <c r="Q39" s="2">
        <f t="shared" ref="Q39" si="21">MEDIAN(F31:F39)</f>
        <v>1.9996000799839999E-4</v>
      </c>
      <c r="R39" s="2">
        <f t="shared" ref="R39" si="22">MEDIAN(G31:G39)</f>
        <v>0</v>
      </c>
      <c r="S39" s="2">
        <f t="shared" ref="S39" si="23">MEDIAN(H31:H39)</f>
        <v>1</v>
      </c>
      <c r="T39" s="2">
        <f t="shared" ref="T39" si="24">MEDIAN(I31:I39)</f>
        <v>6.8631190365671502E-2</v>
      </c>
      <c r="U39" s="2">
        <f t="shared" ref="U39" si="25">MEDIAN(J31:J39)</f>
        <v>1.9996000799839999E-4</v>
      </c>
      <c r="V39" s="2">
        <f t="shared" ref="V39" si="26">MEDIAN(K31:K39)</f>
        <v>8.0501704982638395E-2</v>
      </c>
      <c r="W39" s="2">
        <f t="shared" ref="W39" si="27">MEDIAN(L31:L39)</f>
        <v>1.9996000799839999E-4</v>
      </c>
    </row>
    <row r="40" spans="1:23" x14ac:dyDescent="0.25">
      <c r="A40" s="1">
        <v>1</v>
      </c>
      <c r="B40" t="s">
        <v>62</v>
      </c>
      <c r="C40" s="2">
        <v>8.9666039276016504E-2</v>
      </c>
      <c r="D40" s="2">
        <v>1.9996000799839999E-4</v>
      </c>
      <c r="E40" s="2">
        <v>0.10983981315221999</v>
      </c>
      <c r="F40" s="2">
        <v>1.9996000799839999E-4</v>
      </c>
      <c r="G40" s="2">
        <v>0</v>
      </c>
      <c r="H40" s="2">
        <v>1</v>
      </c>
      <c r="I40" s="2">
        <v>9.0020815217738401E-2</v>
      </c>
      <c r="J40" s="2">
        <v>1.9996000799839999E-4</v>
      </c>
      <c r="K40" s="2">
        <v>4.1868292142588102E-2</v>
      </c>
      <c r="L40" s="2">
        <v>1.9996000799839999E-4</v>
      </c>
    </row>
    <row r="41" spans="1:23" x14ac:dyDescent="0.25">
      <c r="A41" s="1">
        <v>1</v>
      </c>
      <c r="B41" t="s">
        <v>63</v>
      </c>
      <c r="C41" s="2">
        <v>0.13055212922231299</v>
      </c>
      <c r="D41" s="2">
        <v>1.9996000799839999E-4</v>
      </c>
      <c r="E41" s="2">
        <v>0.14535973076275599</v>
      </c>
      <c r="F41" s="2">
        <v>1.9996000799839999E-4</v>
      </c>
      <c r="G41" s="2">
        <v>1.0069756700139199E-2</v>
      </c>
      <c r="H41" s="2">
        <v>1.9996000799839999E-4</v>
      </c>
      <c r="I41" s="2">
        <v>0.11519135821621999</v>
      </c>
      <c r="J41" s="2">
        <v>1.9996000799839999E-4</v>
      </c>
      <c r="K41" s="2">
        <v>0.135358188956547</v>
      </c>
      <c r="L41" s="2">
        <v>1.9996000799839999E-4</v>
      </c>
    </row>
    <row r="42" spans="1:23" x14ac:dyDescent="0.25">
      <c r="A42" s="1">
        <v>1</v>
      </c>
      <c r="B42" t="s">
        <v>68</v>
      </c>
      <c r="C42" s="2">
        <v>8.4720728501644596E-2</v>
      </c>
      <c r="D42" s="2">
        <v>1.9996000799839999E-4</v>
      </c>
      <c r="E42" s="2">
        <v>0.103882522209721</v>
      </c>
      <c r="F42" s="2">
        <v>1.9996000799839999E-4</v>
      </c>
      <c r="G42" s="2">
        <v>0</v>
      </c>
      <c r="H42" s="2">
        <v>1</v>
      </c>
      <c r="I42" s="2">
        <v>8.6635161944211003E-2</v>
      </c>
      <c r="J42" s="2">
        <v>1.9996000799839999E-4</v>
      </c>
      <c r="K42" s="2">
        <v>7.5664273694746098E-2</v>
      </c>
      <c r="L42" s="2">
        <v>1.9996000799839999E-4</v>
      </c>
    </row>
    <row r="43" spans="1:23" x14ac:dyDescent="0.25">
      <c r="A43" s="1">
        <v>1</v>
      </c>
      <c r="B43" t="s">
        <v>69</v>
      </c>
      <c r="C43" s="2">
        <v>9.9494971461580803E-2</v>
      </c>
      <c r="D43" s="2">
        <v>1.9996000799839999E-4</v>
      </c>
      <c r="E43" s="2">
        <v>0.113733191418843</v>
      </c>
      <c r="F43" s="2">
        <v>1.9996000799839999E-4</v>
      </c>
      <c r="G43" s="2">
        <v>0</v>
      </c>
      <c r="H43" s="2">
        <v>1</v>
      </c>
      <c r="I43" s="2">
        <v>8.9740500798298706E-2</v>
      </c>
      <c r="J43" s="2">
        <v>1.9996000799839999E-4</v>
      </c>
      <c r="K43" s="2">
        <v>7.6757198353278502E-2</v>
      </c>
      <c r="L43" s="2">
        <v>1.9996000799839999E-4</v>
      </c>
    </row>
    <row r="44" spans="1:23" x14ac:dyDescent="0.25">
      <c r="A44" s="1">
        <v>1</v>
      </c>
      <c r="B44" t="s">
        <v>70</v>
      </c>
      <c r="C44" s="2">
        <v>0.10911384979966</v>
      </c>
      <c r="D44" s="2">
        <v>1.9996000799839999E-4</v>
      </c>
      <c r="E44" s="2">
        <v>0.12834383248213399</v>
      </c>
      <c r="F44" s="2">
        <v>1.9996000799839999E-4</v>
      </c>
      <c r="G44" s="2">
        <v>4.1109609582188501E-3</v>
      </c>
      <c r="H44" s="2">
        <v>0.81383723255348905</v>
      </c>
      <c r="I44" s="2">
        <v>9.93455707350272E-2</v>
      </c>
      <c r="J44" s="2">
        <v>1.9996000799839999E-4</v>
      </c>
      <c r="K44" s="2">
        <v>6.99242641294196E-2</v>
      </c>
      <c r="L44" s="2">
        <v>1.8596280743851199E-2</v>
      </c>
    </row>
    <row r="45" spans="1:23" x14ac:dyDescent="0.25">
      <c r="A45" s="1">
        <v>1</v>
      </c>
      <c r="B45" t="s">
        <v>71</v>
      </c>
      <c r="C45" s="2">
        <v>0.110895117954235</v>
      </c>
      <c r="D45" s="2">
        <v>1.9996000799839999E-4</v>
      </c>
      <c r="E45" s="2">
        <v>0.13250127377818899</v>
      </c>
      <c r="F45" s="2">
        <v>1.9996000799839999E-4</v>
      </c>
      <c r="G45" s="2">
        <v>2.9068883707496999E-3</v>
      </c>
      <c r="H45" s="2">
        <v>0.81803639272145501</v>
      </c>
      <c r="I45" s="2">
        <v>0.115972809447906</v>
      </c>
      <c r="J45" s="2">
        <v>1.9996000799839999E-4</v>
      </c>
      <c r="K45" s="2">
        <v>8.1438001711642893E-2</v>
      </c>
      <c r="L45" s="2">
        <v>1.9996000799839999E-4</v>
      </c>
    </row>
    <row r="46" spans="1:23" x14ac:dyDescent="0.25">
      <c r="A46" s="1">
        <v>1</v>
      </c>
      <c r="B46" t="s">
        <v>72</v>
      </c>
      <c r="C46" s="2">
        <v>0.119019589719552</v>
      </c>
      <c r="D46" s="2">
        <v>1.9996000799839999E-4</v>
      </c>
      <c r="E46" s="2">
        <v>0.14225100917671299</v>
      </c>
      <c r="F46" s="2">
        <v>1.9996000799839999E-4</v>
      </c>
      <c r="G46" s="2">
        <v>2.9068883707496999E-3</v>
      </c>
      <c r="H46" s="2">
        <v>0.81383723255348905</v>
      </c>
      <c r="I46" s="2">
        <v>0.12065341358565999</v>
      </c>
      <c r="J46" s="2">
        <v>1.9996000799839999E-4</v>
      </c>
      <c r="K46" s="2">
        <v>0.104220572974198</v>
      </c>
      <c r="L46" s="2">
        <v>1.9996000799839999E-4</v>
      </c>
    </row>
    <row r="47" spans="1:23" x14ac:dyDescent="0.25">
      <c r="A47" s="1">
        <v>1</v>
      </c>
      <c r="B47" t="s">
        <v>73</v>
      </c>
      <c r="C47" s="2">
        <v>0.116808885237666</v>
      </c>
      <c r="D47" s="2">
        <v>1.9996000799839999E-4</v>
      </c>
      <c r="E47" s="2">
        <v>0.13769414649214601</v>
      </c>
      <c r="F47" s="2">
        <v>1.9996000799839999E-4</v>
      </c>
      <c r="G47" s="2">
        <v>0</v>
      </c>
      <c r="H47" s="2">
        <v>1</v>
      </c>
      <c r="I47" s="2">
        <v>0.113593005376019</v>
      </c>
      <c r="J47" s="2">
        <v>1.9996000799839999E-4</v>
      </c>
      <c r="K47" s="2">
        <v>8.2463050926336198E-2</v>
      </c>
      <c r="L47" s="2">
        <v>1.9996000799839999E-4</v>
      </c>
    </row>
    <row r="48" spans="1:23" x14ac:dyDescent="0.25">
      <c r="A48" s="1">
        <v>1</v>
      </c>
      <c r="B48" t="s">
        <v>74</v>
      </c>
      <c r="C48" s="2">
        <v>9.0626780135177998E-2</v>
      </c>
      <c r="D48" s="2">
        <v>1.9996000799839999E-4</v>
      </c>
      <c r="E48" s="2">
        <v>0.10598897827751699</v>
      </c>
      <c r="F48" s="2">
        <v>1.9996000799839999E-4</v>
      </c>
      <c r="G48" s="2">
        <v>0</v>
      </c>
      <c r="H48" s="2">
        <v>1</v>
      </c>
      <c r="I48" s="2">
        <v>8.98685694410125E-2</v>
      </c>
      <c r="J48" s="2">
        <v>1.9996000799839999E-4</v>
      </c>
      <c r="K48" s="2">
        <v>4.9639279919023699E-2</v>
      </c>
      <c r="L48" s="2">
        <v>0.13817236552689399</v>
      </c>
      <c r="N48" s="2">
        <f>MEDIAN(C40:C48)</f>
        <v>0.10911384979966</v>
      </c>
      <c r="O48" s="2">
        <f t="shared" ref="O48" si="28">MEDIAN(D40:D48)</f>
        <v>1.9996000799839999E-4</v>
      </c>
      <c r="P48" s="2">
        <f t="shared" ref="P48" si="29">MEDIAN(E40:E48)</f>
        <v>0.12834383248213399</v>
      </c>
      <c r="Q48" s="2">
        <f t="shared" ref="Q48" si="30">MEDIAN(F40:F48)</f>
        <v>1.9996000799839999E-4</v>
      </c>
      <c r="R48" s="2">
        <f t="shared" ref="R48" si="31">MEDIAN(G40:G48)</f>
        <v>0</v>
      </c>
      <c r="S48" s="2">
        <f t="shared" ref="S48" si="32">MEDIAN(H40:H48)</f>
        <v>1</v>
      </c>
      <c r="T48" s="2">
        <f t="shared" ref="T48" si="33">MEDIAN(I40:I48)</f>
        <v>9.93455707350272E-2</v>
      </c>
      <c r="U48" s="2">
        <f t="shared" ref="U48" si="34">MEDIAN(J40:J48)</f>
        <v>1.9996000799839999E-4</v>
      </c>
      <c r="V48" s="2">
        <f t="shared" ref="V48" si="35">MEDIAN(K40:K48)</f>
        <v>7.6757198353278502E-2</v>
      </c>
      <c r="W48" s="2">
        <f t="shared" ref="W48" si="36">MEDIAN(L40:L48)</f>
        <v>1.9996000799839999E-4</v>
      </c>
    </row>
    <row r="52" spans="13:23" x14ac:dyDescent="0.25">
      <c r="N52" t="s">
        <v>253</v>
      </c>
    </row>
    <row r="53" spans="13:23" x14ac:dyDescent="0.25">
      <c r="N53" t="s">
        <v>6</v>
      </c>
      <c r="O53" t="s">
        <v>6</v>
      </c>
      <c r="P53" t="s">
        <v>16</v>
      </c>
      <c r="Q53" t="s">
        <v>16</v>
      </c>
      <c r="R53" t="s">
        <v>53</v>
      </c>
      <c r="S53" t="s">
        <v>53</v>
      </c>
      <c r="T53" t="s">
        <v>3</v>
      </c>
      <c r="U53" t="s">
        <v>3</v>
      </c>
      <c r="V53" t="s">
        <v>67</v>
      </c>
      <c r="W53" t="s">
        <v>67</v>
      </c>
    </row>
    <row r="54" spans="13:23" x14ac:dyDescent="0.25">
      <c r="N54" t="s">
        <v>56</v>
      </c>
      <c r="O54" t="s">
        <v>57</v>
      </c>
      <c r="P54" t="s">
        <v>56</v>
      </c>
      <c r="Q54" t="s">
        <v>57</v>
      </c>
      <c r="R54" t="s">
        <v>56</v>
      </c>
      <c r="S54" t="s">
        <v>57</v>
      </c>
      <c r="T54" t="s">
        <v>56</v>
      </c>
      <c r="U54" t="s">
        <v>57</v>
      </c>
      <c r="V54" t="s">
        <v>56</v>
      </c>
      <c r="W54" t="s">
        <v>57</v>
      </c>
    </row>
    <row r="55" spans="13:23" x14ac:dyDescent="0.25">
      <c r="M55" s="1">
        <v>0</v>
      </c>
      <c r="N55" s="2">
        <v>0.105128112049381</v>
      </c>
      <c r="O55" s="2">
        <v>1.9996000799839999E-4</v>
      </c>
      <c r="P55" s="2">
        <v>0.123126361987446</v>
      </c>
      <c r="Q55" s="2">
        <v>1.9996000799839999E-4</v>
      </c>
      <c r="R55" s="2">
        <v>0</v>
      </c>
      <c r="S55" s="2">
        <v>1</v>
      </c>
      <c r="T55" s="2">
        <v>7.0792505753742102E-2</v>
      </c>
      <c r="U55" s="2">
        <v>1.9996000799839999E-4</v>
      </c>
      <c r="V55" s="2">
        <v>6.1609740218682499E-2</v>
      </c>
      <c r="W55" s="2">
        <v>1.9996000799839999E-4</v>
      </c>
    </row>
    <row r="56" spans="13:23" x14ac:dyDescent="0.25">
      <c r="M56" s="1">
        <v>0.25</v>
      </c>
      <c r="N56" s="2">
        <v>0.102552848438361</v>
      </c>
      <c r="O56" s="2">
        <v>1.9996000799839999E-4</v>
      </c>
      <c r="P56" s="2">
        <v>0.12199605144109001</v>
      </c>
      <c r="Q56" s="2">
        <v>1.9996000799839999E-4</v>
      </c>
      <c r="R56" s="2">
        <v>0.10751744044572401</v>
      </c>
      <c r="S56" s="2">
        <v>1.9996000799839999E-4</v>
      </c>
      <c r="T56" s="2">
        <v>6.8194305568456196E-2</v>
      </c>
      <c r="U56" s="2">
        <v>1.9996000799839999E-4</v>
      </c>
      <c r="V56" s="2">
        <v>8.7848370530979603E-2</v>
      </c>
      <c r="W56" s="2">
        <v>1.9996000799839999E-4</v>
      </c>
    </row>
    <row r="57" spans="13:23" x14ac:dyDescent="0.25">
      <c r="M57" s="1">
        <v>0.5</v>
      </c>
      <c r="N57" s="2">
        <v>9.8903649739773503E-2</v>
      </c>
      <c r="O57" s="2">
        <v>1.9996000799839999E-4</v>
      </c>
      <c r="P57" s="2">
        <v>0.11639148209499101</v>
      </c>
      <c r="Q57" s="2">
        <v>1.9996000799839999E-4</v>
      </c>
      <c r="R57" s="2">
        <v>2.1999999999999999E-2</v>
      </c>
      <c r="S57" s="2">
        <v>1.9996000799839999E-4</v>
      </c>
      <c r="T57" s="2">
        <v>3.0540379331287001E-2</v>
      </c>
      <c r="U57" s="2">
        <v>5.9988002399520004E-4</v>
      </c>
      <c r="V57" s="2">
        <v>6.9914761266419198E-2</v>
      </c>
      <c r="W57" s="2">
        <v>1.9996000799839999E-4</v>
      </c>
    </row>
    <row r="58" spans="13:23" x14ac:dyDescent="0.25">
      <c r="M58" s="1">
        <v>0.75</v>
      </c>
      <c r="N58" s="2">
        <v>0.107476703668761</v>
      </c>
      <c r="O58" s="2">
        <v>1.9996000799839999E-4</v>
      </c>
      <c r="P58" s="2">
        <v>0.124995518995473</v>
      </c>
      <c r="Q58" s="2">
        <v>1.9996000799839999E-4</v>
      </c>
      <c r="R58" s="2">
        <v>0</v>
      </c>
      <c r="S58" s="2">
        <v>1</v>
      </c>
      <c r="T58" s="2">
        <v>6.8631190365671502E-2</v>
      </c>
      <c r="U58" s="2">
        <v>1.9996000799839999E-4</v>
      </c>
      <c r="V58" s="2">
        <v>8.0501704982638395E-2</v>
      </c>
      <c r="W58" s="2">
        <v>1.9996000799839999E-4</v>
      </c>
    </row>
    <row r="59" spans="13:23" x14ac:dyDescent="0.25">
      <c r="M59" s="1">
        <v>1</v>
      </c>
      <c r="N59" s="2">
        <v>0.10911384979966</v>
      </c>
      <c r="O59" s="2">
        <v>1.9996000799839999E-4</v>
      </c>
      <c r="P59" s="2">
        <v>0.12834383248213399</v>
      </c>
      <c r="Q59" s="2">
        <v>1.9996000799839999E-4</v>
      </c>
      <c r="R59" s="2">
        <v>0</v>
      </c>
      <c r="S59" s="2">
        <v>1</v>
      </c>
      <c r="T59" s="2">
        <v>9.93455707350272E-2</v>
      </c>
      <c r="U59" s="2">
        <v>1.9996000799839999E-4</v>
      </c>
      <c r="V59" s="2">
        <v>7.6757198353278502E-2</v>
      </c>
      <c r="W59" s="2">
        <v>1.9996000799839999E-4</v>
      </c>
    </row>
    <row r="60" spans="13:23" x14ac:dyDescent="0.25">
      <c r="N60" t="s">
        <v>6</v>
      </c>
      <c r="O60" t="s">
        <v>16</v>
      </c>
      <c r="P60" t="s">
        <v>53</v>
      </c>
      <c r="Q60" t="s">
        <v>3</v>
      </c>
      <c r="R60" t="s">
        <v>67</v>
      </c>
      <c r="S60" t="s">
        <v>254</v>
      </c>
      <c r="T60" t="s">
        <v>255</v>
      </c>
    </row>
    <row r="61" spans="13:23" x14ac:dyDescent="0.25">
      <c r="M61" s="1">
        <v>0</v>
      </c>
      <c r="N61" t="str">
        <f>TEXT(N55,"0.000")&amp;" ("&amp;TEXT(O55,".000")&amp;")"</f>
        <v>0.105 (.000)</v>
      </c>
      <c r="O61" t="str">
        <f>TEXT(P55,"0.000")&amp;" ("&amp;TEXT(Q55,".000")&amp;")"</f>
        <v>0.123 (.000)</v>
      </c>
      <c r="P61" t="str">
        <f>TEXT(R55,"0.000")&amp;" ("&amp;TEXT(S55,".000")&amp;")"</f>
        <v>0.000 (1.000)</v>
      </c>
      <c r="Q61" t="str">
        <f>TEXT(T55,"0.000")&amp;" ("&amp;TEXT(U55,".000")&amp;")"</f>
        <v>0.071 (.000)</v>
      </c>
      <c r="R61" t="str">
        <f>TEXT(V55,"0.000")&amp;" ("&amp;TEXT(W55,".000")&amp;")"</f>
        <v>0.062 (.000)</v>
      </c>
    </row>
    <row r="62" spans="13:23" x14ac:dyDescent="0.25">
      <c r="M62" s="1">
        <v>0.25</v>
      </c>
      <c r="N62" t="str">
        <f t="shared" ref="N62:N65" si="37">TEXT(N56,"0.000")&amp;" ("&amp;TEXT(O56,".000")&amp;")"</f>
        <v>0.103 (.000)</v>
      </c>
      <c r="O62" t="str">
        <f t="shared" ref="O62:O65" si="38">TEXT(P56,"0.000")&amp;" ("&amp;TEXT(Q56,".000")&amp;")"</f>
        <v>0.122 (.000)</v>
      </c>
      <c r="P62" t="str">
        <f t="shared" ref="P62:P65" si="39">TEXT(R56,"0.000")&amp;" ("&amp;TEXT(S56,".000")&amp;")"</f>
        <v>0.108 (.000)</v>
      </c>
      <c r="Q62" t="str">
        <f t="shared" ref="Q62:Q65" si="40">TEXT(T56,"0.000")&amp;" ("&amp;TEXT(U56,".000")&amp;")"</f>
        <v>0.068 (.000)</v>
      </c>
      <c r="R62" t="str">
        <f t="shared" ref="R62:R65" si="41">TEXT(V56,"0.000")&amp;" ("&amp;TEXT(W56,".000")&amp;")"</f>
        <v>0.088 (.000)</v>
      </c>
    </row>
    <row r="63" spans="13:23" x14ac:dyDescent="0.25">
      <c r="M63" s="1">
        <v>0.5</v>
      </c>
      <c r="N63" t="str">
        <f t="shared" si="37"/>
        <v>0.099 (.000)</v>
      </c>
      <c r="O63" t="str">
        <f t="shared" si="38"/>
        <v>0.116 (.000)</v>
      </c>
      <c r="P63" t="str">
        <f t="shared" si="39"/>
        <v>0.022 (.000)</v>
      </c>
      <c r="Q63" t="str">
        <f t="shared" si="40"/>
        <v>0.031 (.001)</v>
      </c>
      <c r="R63" t="str">
        <f t="shared" si="41"/>
        <v>0.070 (.000)</v>
      </c>
    </row>
    <row r="64" spans="13:23" x14ac:dyDescent="0.25">
      <c r="M64" s="1">
        <v>0.75</v>
      </c>
      <c r="N64" t="str">
        <f t="shared" si="37"/>
        <v>0.107 (.000)</v>
      </c>
      <c r="O64" t="str">
        <f t="shared" si="38"/>
        <v>0.125 (.000)</v>
      </c>
      <c r="P64" t="str">
        <f t="shared" si="39"/>
        <v>0.000 (1.000)</v>
      </c>
      <c r="Q64" t="str">
        <f t="shared" si="40"/>
        <v>0.069 (.000)</v>
      </c>
      <c r="R64" t="str">
        <f t="shared" si="41"/>
        <v>0.081 (.000)</v>
      </c>
    </row>
    <row r="65" spans="13:18" x14ac:dyDescent="0.25">
      <c r="M65" s="1">
        <v>1</v>
      </c>
      <c r="N65" t="str">
        <f t="shared" si="37"/>
        <v>0.109 (.000)</v>
      </c>
      <c r="O65" t="str">
        <f t="shared" si="38"/>
        <v>0.128 (.000)</v>
      </c>
      <c r="P65" t="str">
        <f t="shared" si="39"/>
        <v>0.000 (1.000)</v>
      </c>
      <c r="Q65" t="str">
        <f t="shared" si="40"/>
        <v>0.099 (.000)</v>
      </c>
      <c r="R65" t="str">
        <f t="shared" si="41"/>
        <v>0.077 (.000)</v>
      </c>
    </row>
    <row r="67" spans="13:18" x14ac:dyDescent="0.25">
      <c r="M67" t="s">
        <v>272</v>
      </c>
      <c r="N67" s="2">
        <f>AVERAGE(N55:N59)</f>
        <v>0.10463503273918731</v>
      </c>
      <c r="O67" s="2">
        <f>AVERAGE(P55:P59)</f>
        <v>0.12297064940022681</v>
      </c>
      <c r="P67" s="2">
        <f>AVERAGE(R55:R59)</f>
        <v>2.5903488089144798E-2</v>
      </c>
      <c r="Q67" s="2">
        <f>AVERAGE(T55:T59)</f>
        <v>6.7500790350836809E-2</v>
      </c>
      <c r="R67" s="2">
        <f>AVERAGE(V55:V59)</f>
        <v>7.5326355070399628E-2</v>
      </c>
    </row>
    <row r="68" spans="13:18" x14ac:dyDescent="0.25">
      <c r="M68" t="s">
        <v>271</v>
      </c>
      <c r="N68" s="18">
        <v>7.3610354265760597E-2</v>
      </c>
      <c r="O68" s="18">
        <v>6.06267755515515E-2</v>
      </c>
      <c r="P68" s="18">
        <v>0.31264965798663602</v>
      </c>
      <c r="Q68" s="18">
        <v>0.145671058128994</v>
      </c>
    </row>
    <row r="69" spans="13:18" x14ac:dyDescent="0.25">
      <c r="M69" t="s">
        <v>270</v>
      </c>
      <c r="N69" s="2">
        <f>MEDIAN(N55:N59)</f>
        <v>0.105128112049381</v>
      </c>
      <c r="O69" s="2">
        <f>MEDIAN(P55:P59)</f>
        <v>0.123126361987446</v>
      </c>
      <c r="P69" s="2">
        <f>MEDIAN(R55:R59)</f>
        <v>0</v>
      </c>
      <c r="Q69" s="2">
        <f>MEDIAN(T55:T59)</f>
        <v>6.8631190365671502E-2</v>
      </c>
    </row>
    <row r="70" spans="13:18" x14ac:dyDescent="0.25">
      <c r="M70" t="s">
        <v>269</v>
      </c>
      <c r="N70" s="2">
        <f>_xlfn.STDEV.S(N55:N59)</f>
        <v>4.0485264506942426E-3</v>
      </c>
      <c r="O70" s="2">
        <f>_xlfn.STDEV.S(P55:P59)</f>
        <v>4.3940506179236793E-3</v>
      </c>
      <c r="P70" s="2">
        <f>_xlfn.STDEV.S(R55:R59)</f>
        <v>4.6607527621827023E-2</v>
      </c>
      <c r="Q70" s="2">
        <f>_xlfn.STDEV.S(T55:T59)</f>
        <v>2.4457903519597236E-2</v>
      </c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B103" s="1"/>
    </row>
    <row r="104" spans="1:4" x14ac:dyDescent="0.25">
      <c r="B104" s="1"/>
    </row>
    <row r="105" spans="1:4" x14ac:dyDescent="0.25">
      <c r="B105" s="1"/>
    </row>
    <row r="106" spans="1:4" x14ac:dyDescent="0.25">
      <c r="B106" s="1"/>
    </row>
    <row r="107" spans="1:4" x14ac:dyDescent="0.25">
      <c r="B107" s="1"/>
    </row>
    <row r="108" spans="1:4" x14ac:dyDescent="0.25">
      <c r="B108" s="1"/>
    </row>
    <row r="109" spans="1:4" x14ac:dyDescent="0.25">
      <c r="B109" s="1"/>
    </row>
    <row r="110" spans="1:4" x14ac:dyDescent="0.25">
      <c r="B110" s="1"/>
    </row>
    <row r="111" spans="1:4" x14ac:dyDescent="0.25">
      <c r="B111" s="1"/>
    </row>
    <row r="112" spans="1:4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CF9F-C363-4D6E-AD04-5C11488DA287}">
  <dimension ref="A1:I49"/>
  <sheetViews>
    <sheetView workbookViewId="0">
      <selection activeCell="J21" sqref="J21"/>
    </sheetView>
  </sheetViews>
  <sheetFormatPr defaultRowHeight="15" x14ac:dyDescent="0.25"/>
  <cols>
    <col min="3" max="4" width="9.5703125" bestFit="1" customWidth="1"/>
  </cols>
  <sheetData>
    <row r="1" spans="1:9" x14ac:dyDescent="0.25">
      <c r="C1" s="7" t="s">
        <v>15</v>
      </c>
      <c r="D1" s="7" t="s">
        <v>67</v>
      </c>
    </row>
    <row r="2" spans="1:9" x14ac:dyDescent="0.25">
      <c r="A2" t="s">
        <v>58</v>
      </c>
      <c r="B2" t="s">
        <v>64</v>
      </c>
      <c r="C2" t="s">
        <v>65</v>
      </c>
      <c r="D2" t="s">
        <v>65</v>
      </c>
    </row>
    <row r="4" spans="1:9" x14ac:dyDescent="0.25">
      <c r="A4" s="1">
        <v>0</v>
      </c>
      <c r="B4" t="s">
        <v>62</v>
      </c>
      <c r="C4" s="2">
        <v>0.16596302351145101</v>
      </c>
      <c r="D4" s="2">
        <v>0.147063899596478</v>
      </c>
    </row>
    <row r="5" spans="1:9" x14ac:dyDescent="0.25">
      <c r="A5" s="1">
        <v>0</v>
      </c>
      <c r="B5" t="s">
        <v>63</v>
      </c>
      <c r="C5" s="2">
        <v>0.198645968998965</v>
      </c>
      <c r="D5" s="2">
        <v>0.210783900501086</v>
      </c>
    </row>
    <row r="6" spans="1:9" x14ac:dyDescent="0.25">
      <c r="A6" s="1">
        <v>0</v>
      </c>
      <c r="B6" t="s">
        <v>68</v>
      </c>
      <c r="C6" s="2">
        <v>0.156747081714217</v>
      </c>
      <c r="D6" s="2">
        <v>0.14799268257013901</v>
      </c>
    </row>
    <row r="7" spans="1:9" x14ac:dyDescent="0.25">
      <c r="A7" s="1">
        <v>0</v>
      </c>
      <c r="B7" t="s">
        <v>69</v>
      </c>
      <c r="C7" s="2">
        <v>0.168519407311474</v>
      </c>
      <c r="D7" s="2">
        <v>0.16782986380780399</v>
      </c>
    </row>
    <row r="8" spans="1:9" x14ac:dyDescent="0.25">
      <c r="A8" s="1">
        <v>0</v>
      </c>
      <c r="B8" t="s">
        <v>70</v>
      </c>
      <c r="C8" s="2">
        <v>0.18708791264740801</v>
      </c>
      <c r="D8" s="2">
        <v>0.16204223060428399</v>
      </c>
    </row>
    <row r="9" spans="1:9" x14ac:dyDescent="0.25">
      <c r="A9" s="1">
        <v>0</v>
      </c>
      <c r="B9" t="s">
        <v>71</v>
      </c>
      <c r="C9" s="2">
        <v>0.18556205160891101</v>
      </c>
      <c r="D9" s="2">
        <v>0.17374840620408999</v>
      </c>
    </row>
    <row r="10" spans="1:9" x14ac:dyDescent="0.25">
      <c r="A10" s="1">
        <v>0</v>
      </c>
      <c r="B10" t="s">
        <v>72</v>
      </c>
      <c r="C10" s="2">
        <v>0.18961654033707001</v>
      </c>
      <c r="D10" s="2">
        <v>0.18853550688402901</v>
      </c>
    </row>
    <row r="11" spans="1:9" x14ac:dyDescent="0.25">
      <c r="A11" s="1">
        <v>0</v>
      </c>
      <c r="B11" t="s">
        <v>73</v>
      </c>
      <c r="C11" s="2">
        <v>0.179362777161995</v>
      </c>
      <c r="D11" s="2">
        <v>0.17621821829168299</v>
      </c>
    </row>
    <row r="12" spans="1:9" x14ac:dyDescent="0.25">
      <c r="A12" s="1">
        <v>0</v>
      </c>
      <c r="B12" t="s">
        <v>74</v>
      </c>
      <c r="C12" s="2">
        <v>0.165228648815406</v>
      </c>
      <c r="D12" s="2">
        <v>0.16030496590530799</v>
      </c>
      <c r="E12" s="2"/>
      <c r="F12" s="2"/>
      <c r="G12" s="2"/>
      <c r="H12" s="2"/>
      <c r="I12" s="2"/>
    </row>
    <row r="13" spans="1:9" x14ac:dyDescent="0.25">
      <c r="A13" s="1">
        <v>0.25</v>
      </c>
      <c r="B13" t="s">
        <v>62</v>
      </c>
      <c r="C13" s="2">
        <v>0.16596302351145101</v>
      </c>
      <c r="D13" s="2">
        <v>0.147063899596478</v>
      </c>
    </row>
    <row r="14" spans="1:9" x14ac:dyDescent="0.25">
      <c r="A14" s="1">
        <v>0.25</v>
      </c>
      <c r="B14" t="s">
        <v>63</v>
      </c>
      <c r="C14" s="2">
        <v>0.198645968998965</v>
      </c>
      <c r="D14" s="2">
        <v>0.210783900501086</v>
      </c>
    </row>
    <row r="15" spans="1:9" x14ac:dyDescent="0.25">
      <c r="A15" s="1">
        <v>0.25</v>
      </c>
      <c r="B15" t="s">
        <v>68</v>
      </c>
      <c r="C15" s="2">
        <v>0.156747081714217</v>
      </c>
      <c r="D15" s="2">
        <v>0.14799268257013901</v>
      </c>
    </row>
    <row r="16" spans="1:9" x14ac:dyDescent="0.25">
      <c r="A16" s="1">
        <v>0.25</v>
      </c>
      <c r="B16" t="s">
        <v>69</v>
      </c>
      <c r="C16" s="2">
        <v>0.168519407311474</v>
      </c>
      <c r="D16" s="2">
        <v>0.16782986380780399</v>
      </c>
    </row>
    <row r="17" spans="1:9" x14ac:dyDescent="0.25">
      <c r="A17" s="1">
        <v>0.25</v>
      </c>
      <c r="B17" t="s">
        <v>70</v>
      </c>
      <c r="C17" s="2">
        <v>0.18708791264740801</v>
      </c>
      <c r="D17" s="2">
        <v>0.16204223060428399</v>
      </c>
    </row>
    <row r="18" spans="1:9" x14ac:dyDescent="0.25">
      <c r="A18" s="1">
        <v>0.25</v>
      </c>
      <c r="B18" t="s">
        <v>71</v>
      </c>
      <c r="C18" s="2">
        <v>0.18556205160891101</v>
      </c>
      <c r="D18" s="2">
        <v>0.17374840620408999</v>
      </c>
    </row>
    <row r="19" spans="1:9" x14ac:dyDescent="0.25">
      <c r="A19" s="1">
        <v>0.25</v>
      </c>
      <c r="B19" t="s">
        <v>72</v>
      </c>
      <c r="C19" s="2">
        <v>0.18961654033707001</v>
      </c>
      <c r="D19" s="2">
        <v>0.18853550688402901</v>
      </c>
    </row>
    <row r="20" spans="1:9" x14ac:dyDescent="0.25">
      <c r="A20" s="1">
        <v>0.25</v>
      </c>
      <c r="B20" t="s">
        <v>73</v>
      </c>
      <c r="C20" s="2">
        <v>0.179362777161995</v>
      </c>
      <c r="D20" s="2">
        <v>0.17621821829168299</v>
      </c>
    </row>
    <row r="21" spans="1:9" x14ac:dyDescent="0.25">
      <c r="A21" s="1">
        <v>0.25</v>
      </c>
      <c r="B21" t="s">
        <v>74</v>
      </c>
      <c r="C21" s="2">
        <v>0.165228648815406</v>
      </c>
      <c r="D21" s="2">
        <v>0.16030496590530799</v>
      </c>
      <c r="F21" s="2"/>
      <c r="G21" s="2"/>
      <c r="H21" s="2"/>
      <c r="I21" s="2"/>
    </row>
    <row r="22" spans="1:9" x14ac:dyDescent="0.25">
      <c r="A22" s="1">
        <v>0.5</v>
      </c>
      <c r="B22" t="s">
        <v>62</v>
      </c>
      <c r="C22" s="2">
        <v>0.16596302351145101</v>
      </c>
      <c r="D22" s="2">
        <v>0.147063899596478</v>
      </c>
    </row>
    <row r="23" spans="1:9" x14ac:dyDescent="0.25">
      <c r="A23" s="1">
        <v>0.5</v>
      </c>
      <c r="B23" t="s">
        <v>63</v>
      </c>
      <c r="C23" s="2">
        <v>0.198645968998965</v>
      </c>
      <c r="D23" s="2">
        <v>0.210783900501086</v>
      </c>
    </row>
    <row r="24" spans="1:9" x14ac:dyDescent="0.25">
      <c r="A24" s="1">
        <v>0.5</v>
      </c>
      <c r="B24" t="s">
        <v>68</v>
      </c>
      <c r="C24" s="2">
        <v>0.156747081714217</v>
      </c>
      <c r="D24" s="2">
        <v>0.14799268257013901</v>
      </c>
    </row>
    <row r="25" spans="1:9" x14ac:dyDescent="0.25">
      <c r="A25" s="1">
        <v>0.5</v>
      </c>
      <c r="B25" t="s">
        <v>69</v>
      </c>
      <c r="C25" s="2">
        <v>0.168519407311474</v>
      </c>
      <c r="D25" s="2">
        <v>0.16782986380780399</v>
      </c>
    </row>
    <row r="26" spans="1:9" x14ac:dyDescent="0.25">
      <c r="A26" s="1">
        <v>0.5</v>
      </c>
      <c r="B26" t="s">
        <v>70</v>
      </c>
      <c r="C26" s="2">
        <v>0.18708791264740801</v>
      </c>
      <c r="D26" s="2">
        <v>0.16204223060428399</v>
      </c>
    </row>
    <row r="27" spans="1:9" x14ac:dyDescent="0.25">
      <c r="A27" s="1">
        <v>0.5</v>
      </c>
      <c r="B27" t="s">
        <v>71</v>
      </c>
      <c r="C27" s="2">
        <v>0.18556205160891101</v>
      </c>
      <c r="D27" s="2">
        <v>0.17374840620408999</v>
      </c>
    </row>
    <row r="28" spans="1:9" x14ac:dyDescent="0.25">
      <c r="A28" s="1">
        <v>0.5</v>
      </c>
      <c r="B28" t="s">
        <v>72</v>
      </c>
      <c r="C28" s="2">
        <v>0.18961654033707001</v>
      </c>
      <c r="D28" s="2">
        <v>0.18853550688402901</v>
      </c>
    </row>
    <row r="29" spans="1:9" x14ac:dyDescent="0.25">
      <c r="A29" s="1">
        <v>0.5</v>
      </c>
      <c r="B29" t="s">
        <v>73</v>
      </c>
      <c r="C29" s="2">
        <v>0.179362777161995</v>
      </c>
      <c r="D29" s="2">
        <v>0.17621821829168299</v>
      </c>
    </row>
    <row r="30" spans="1:9" x14ac:dyDescent="0.25">
      <c r="A30" s="1">
        <v>0.5</v>
      </c>
      <c r="B30" t="s">
        <v>74</v>
      </c>
      <c r="C30" s="2">
        <v>0.165228648815406</v>
      </c>
      <c r="D30" s="2">
        <v>0.16030496590530799</v>
      </c>
      <c r="F30" s="2"/>
      <c r="G30" s="2"/>
      <c r="H30" s="2"/>
      <c r="I30" s="2"/>
    </row>
    <row r="31" spans="1:9" x14ac:dyDescent="0.25">
      <c r="A31" s="1">
        <v>0.75</v>
      </c>
      <c r="B31" t="s">
        <v>62</v>
      </c>
      <c r="C31" s="2">
        <v>0.16596302351145101</v>
      </c>
      <c r="D31" s="2">
        <v>0.147063899596478</v>
      </c>
    </row>
    <row r="32" spans="1:9" x14ac:dyDescent="0.25">
      <c r="A32" s="1">
        <v>0.75</v>
      </c>
      <c r="B32" t="s">
        <v>63</v>
      </c>
      <c r="C32" s="2">
        <v>0.198645968998965</v>
      </c>
      <c r="D32" s="2">
        <v>0.210783900501086</v>
      </c>
    </row>
    <row r="33" spans="1:9" x14ac:dyDescent="0.25">
      <c r="A33" s="1">
        <v>0.75</v>
      </c>
      <c r="B33" t="s">
        <v>68</v>
      </c>
      <c r="C33" s="2">
        <v>0.156747081714217</v>
      </c>
      <c r="D33" s="2">
        <v>0.14799268257013901</v>
      </c>
    </row>
    <row r="34" spans="1:9" x14ac:dyDescent="0.25">
      <c r="A34" s="1">
        <v>0.75</v>
      </c>
      <c r="B34" t="s">
        <v>69</v>
      </c>
      <c r="C34" s="2">
        <v>0.168519407311474</v>
      </c>
      <c r="D34" s="2">
        <v>0.16782986380780399</v>
      </c>
    </row>
    <row r="35" spans="1:9" x14ac:dyDescent="0.25">
      <c r="A35" s="1">
        <v>0.75</v>
      </c>
      <c r="B35" t="s">
        <v>70</v>
      </c>
      <c r="C35" s="2">
        <v>0.18708791264740801</v>
      </c>
      <c r="D35" s="2">
        <v>0.16204223060428399</v>
      </c>
    </row>
    <row r="36" spans="1:9" x14ac:dyDescent="0.25">
      <c r="A36" s="1">
        <v>0.75</v>
      </c>
      <c r="B36" t="s">
        <v>71</v>
      </c>
      <c r="C36" s="2">
        <v>0.18556205160891101</v>
      </c>
      <c r="D36" s="2">
        <v>0.17374840620408999</v>
      </c>
    </row>
    <row r="37" spans="1:9" x14ac:dyDescent="0.25">
      <c r="A37" s="1">
        <v>0.75</v>
      </c>
      <c r="B37" t="s">
        <v>72</v>
      </c>
      <c r="C37" s="2">
        <v>0.18961654033707001</v>
      </c>
      <c r="D37" s="2">
        <v>0.18853550688402901</v>
      </c>
    </row>
    <row r="38" spans="1:9" x14ac:dyDescent="0.25">
      <c r="A38" s="1">
        <v>0.75</v>
      </c>
      <c r="B38" t="s">
        <v>73</v>
      </c>
      <c r="C38" s="2">
        <v>0.179362777161995</v>
      </c>
      <c r="D38" s="2">
        <v>0.17621821829168299</v>
      </c>
    </row>
    <row r="39" spans="1:9" x14ac:dyDescent="0.25">
      <c r="A39" s="1">
        <v>0.75</v>
      </c>
      <c r="B39" t="s">
        <v>74</v>
      </c>
      <c r="C39" s="2">
        <v>0.165228648815406</v>
      </c>
      <c r="D39" s="2">
        <v>0.16030496590530799</v>
      </c>
      <c r="F39" s="2"/>
      <c r="G39" s="2"/>
      <c r="H39" s="2"/>
      <c r="I39" s="2"/>
    </row>
    <row r="40" spans="1:9" x14ac:dyDescent="0.25">
      <c r="A40" s="1">
        <v>1</v>
      </c>
      <c r="B40" t="s">
        <v>62</v>
      </c>
      <c r="C40" s="2">
        <v>0.16596302351145101</v>
      </c>
      <c r="D40" s="2">
        <v>0.147063899596478</v>
      </c>
    </row>
    <row r="41" spans="1:9" x14ac:dyDescent="0.25">
      <c r="A41" s="1">
        <v>1</v>
      </c>
      <c r="B41" t="s">
        <v>63</v>
      </c>
      <c r="C41" s="2">
        <v>0.198645968998965</v>
      </c>
      <c r="D41" s="2">
        <v>0.210783900501086</v>
      </c>
    </row>
    <row r="42" spans="1:9" x14ac:dyDescent="0.25">
      <c r="A42" s="1">
        <v>1</v>
      </c>
      <c r="B42" t="s">
        <v>68</v>
      </c>
      <c r="C42" s="2">
        <v>0.156747081714217</v>
      </c>
      <c r="D42" s="2">
        <v>0.14799268257013901</v>
      </c>
    </row>
    <row r="43" spans="1:9" x14ac:dyDescent="0.25">
      <c r="A43" s="1">
        <v>1</v>
      </c>
      <c r="B43" t="s">
        <v>69</v>
      </c>
      <c r="C43" s="2">
        <v>0.168519407311474</v>
      </c>
      <c r="D43" s="2">
        <v>0.16782986380780399</v>
      </c>
    </row>
    <row r="44" spans="1:9" x14ac:dyDescent="0.25">
      <c r="A44" s="1">
        <v>1</v>
      </c>
      <c r="B44" t="s">
        <v>70</v>
      </c>
      <c r="C44" s="2">
        <v>0.18708791264740801</v>
      </c>
      <c r="D44" s="2">
        <v>0.16204223060428399</v>
      </c>
    </row>
    <row r="45" spans="1:9" x14ac:dyDescent="0.25">
      <c r="A45" s="1">
        <v>1</v>
      </c>
      <c r="B45" t="s">
        <v>71</v>
      </c>
      <c r="C45" s="2">
        <v>0.18556205160891101</v>
      </c>
      <c r="D45" s="2">
        <v>0.17374840620408999</v>
      </c>
    </row>
    <row r="46" spans="1:9" x14ac:dyDescent="0.25">
      <c r="A46" s="1">
        <v>1</v>
      </c>
      <c r="B46" t="s">
        <v>72</v>
      </c>
      <c r="C46" s="2">
        <v>0.18961654033707001</v>
      </c>
      <c r="D46" s="2">
        <v>0.18853550688402901</v>
      </c>
    </row>
    <row r="47" spans="1:9" x14ac:dyDescent="0.25">
      <c r="A47" s="1">
        <v>1</v>
      </c>
      <c r="B47" t="s">
        <v>73</v>
      </c>
      <c r="C47" s="2">
        <v>0.179362777161995</v>
      </c>
      <c r="D47" s="2">
        <v>0.17621821829168299</v>
      </c>
    </row>
    <row r="48" spans="1:9" x14ac:dyDescent="0.25">
      <c r="A48" s="1">
        <v>1</v>
      </c>
      <c r="B48" t="s">
        <v>74</v>
      </c>
      <c r="C48" s="2">
        <v>0.165228648815406</v>
      </c>
      <c r="D48" s="2">
        <v>0.16030496590530799</v>
      </c>
      <c r="F48" s="2"/>
      <c r="G48" s="2"/>
      <c r="H48" s="2"/>
      <c r="I48" s="2"/>
    </row>
    <row r="49" spans="3:4" x14ac:dyDescent="0.25">
      <c r="C49" s="2"/>
      <c r="D4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56A8-9976-4C80-B688-FA54AEB0E715}">
  <dimension ref="A1:T49"/>
  <sheetViews>
    <sheetView topLeftCell="A28" workbookViewId="0">
      <selection activeCell="V12" sqref="V12"/>
    </sheetView>
  </sheetViews>
  <sheetFormatPr defaultRowHeight="15" x14ac:dyDescent="0.25"/>
  <cols>
    <col min="1" max="11" width="10.7109375" customWidth="1"/>
    <col min="12" max="12" width="10.7109375" style="13" customWidth="1"/>
    <col min="13" max="18" width="10.7109375" style="12" customWidth="1"/>
    <col min="19" max="19" width="10.7109375" style="2" customWidth="1"/>
    <col min="20" max="20" width="9.140625" style="2"/>
  </cols>
  <sheetData>
    <row r="1" spans="1:20" x14ac:dyDescent="0.25">
      <c r="A1" t="s">
        <v>54</v>
      </c>
      <c r="B1" t="s">
        <v>77</v>
      </c>
    </row>
    <row r="2" spans="1:20" x14ac:dyDescent="0.25">
      <c r="A2" t="s">
        <v>58</v>
      </c>
      <c r="B2" t="s">
        <v>64</v>
      </c>
      <c r="C2" t="s">
        <v>6</v>
      </c>
      <c r="D2" t="s">
        <v>16</v>
      </c>
      <c r="E2" t="s">
        <v>53</v>
      </c>
      <c r="F2" t="s">
        <v>3</v>
      </c>
      <c r="G2" t="s">
        <v>67</v>
      </c>
      <c r="H2" t="s">
        <v>75</v>
      </c>
      <c r="I2" t="s">
        <v>76</v>
      </c>
      <c r="L2" s="13" t="s">
        <v>54</v>
      </c>
      <c r="M2" s="12" t="s">
        <v>77</v>
      </c>
    </row>
    <row r="3" spans="1:20" x14ac:dyDescent="0.25">
      <c r="A3" s="1">
        <v>0</v>
      </c>
      <c r="B3" t="s">
        <v>62</v>
      </c>
      <c r="C3" t="str">
        <f>TEXT(ROUND('Mitigation Condensed'!C4,3),"0.000") &amp; " (" &amp; TEXT(ROUND('Mitigation Condensed'!D4,3),"0.000") &amp; ")"</f>
        <v>0.072 (0.000)</v>
      </c>
      <c r="D3" t="str">
        <f>TEXT(ROUND('Mitigation Condensed'!E4,3),"0.000") &amp; " (" &amp; TEXT(ROUND('Mitigation Condensed'!F4,3),"0.000") &amp; ")"</f>
        <v>0.097 (0.000)</v>
      </c>
      <c r="E3" t="str">
        <f>TEXT(ROUND('Mitigation Condensed'!G4,3),"0.000") &amp; " (" &amp; TEXT(ROUND('Mitigation Condensed'!H4,3),"0.000") &amp; ")"</f>
        <v>0.000 (1.000)</v>
      </c>
      <c r="F3" t="str">
        <f>TEXT(ROUND('Mitigation Condensed'!I4,3),"0.000") &amp; " (" &amp; TEXT(ROUND('Mitigation Condensed'!J4,3),"0.000") &amp; ")"</f>
        <v>0.067 (0.000)</v>
      </c>
      <c r="G3" t="str">
        <f>TEXT(ROUND('Mitigation Condensed'!K4,3),"0.000") &amp; " (" &amp; TEXT(ROUND('Mitigation Condensed'!L4,3),"0.000") &amp; ")"</f>
        <v>0.043 (0.000)</v>
      </c>
      <c r="H3" s="2">
        <f>Unmitigated!C4</f>
        <v>0.16596302351145101</v>
      </c>
      <c r="I3" s="2">
        <f>Unmitigated!D4</f>
        <v>0.147063899596478</v>
      </c>
      <c r="L3" s="13" t="s">
        <v>190</v>
      </c>
      <c r="M3" s="12" t="s">
        <v>256</v>
      </c>
      <c r="N3" s="12" t="s">
        <v>6</v>
      </c>
      <c r="O3" s="12" t="s">
        <v>16</v>
      </c>
      <c r="P3" s="12" t="s">
        <v>53</v>
      </c>
      <c r="Q3" s="12" t="s">
        <v>3</v>
      </c>
      <c r="R3" s="12" t="s">
        <v>67</v>
      </c>
      <c r="S3" s="2" t="s">
        <v>257</v>
      </c>
      <c r="T3" s="2" t="s">
        <v>258</v>
      </c>
    </row>
    <row r="4" spans="1:20" x14ac:dyDescent="0.25">
      <c r="A4" s="1">
        <v>0</v>
      </c>
      <c r="B4" t="s">
        <v>63</v>
      </c>
      <c r="C4" t="str">
        <f>TEXT(ROUND('Mitigation Condensed'!C5,3),"0.000") &amp; " (" &amp; TEXT(ROUND('Mitigation Condensed'!D5,3),"0.000") &amp; ")"</f>
        <v>0.120 (0.000)</v>
      </c>
      <c r="D4" t="str">
        <f>TEXT(ROUND('Mitigation Condensed'!E5,3),"0.000") &amp; " (" &amp; TEXT(ROUND('Mitigation Condensed'!F5,3),"0.000") &amp; ")"</f>
        <v>0.140 (0.000)</v>
      </c>
      <c r="E4" t="str">
        <f>TEXT(ROUND('Mitigation Condensed'!G5,3),"0.000") &amp; " (" &amp; TEXT(ROUND('Mitigation Condensed'!H5,3),"0.000") &amp; ")"</f>
        <v>0.188 (0.020)</v>
      </c>
      <c r="F4" t="str">
        <f>TEXT(ROUND('Mitigation Condensed'!I5,3),"0.000") &amp; " (" &amp; TEXT(ROUND('Mitigation Condensed'!J5,3),"0.000") &amp; ")"</f>
        <v>0.078 (0.000)</v>
      </c>
      <c r="G4" t="str">
        <f>TEXT(ROUND('Mitigation Condensed'!K5,3),"0.000") &amp; " (" &amp; TEXT(ROUND('Mitigation Condensed'!L5,3),"0.000") &amp; ")"</f>
        <v>0.127 (0.000)</v>
      </c>
      <c r="H4" s="2">
        <f>Unmitigated!C5</f>
        <v>0.198645968998965</v>
      </c>
      <c r="I4" s="2">
        <f>Unmitigated!D5</f>
        <v>0.210783900501086</v>
      </c>
      <c r="L4" s="13">
        <v>0</v>
      </c>
      <c r="M4" s="12" t="s">
        <v>62</v>
      </c>
      <c r="N4" s="12" t="s">
        <v>166</v>
      </c>
      <c r="O4" s="12" t="s">
        <v>167</v>
      </c>
      <c r="P4" s="12" t="s">
        <v>84</v>
      </c>
      <c r="Q4" s="12" t="s">
        <v>168</v>
      </c>
      <c r="R4" s="12" t="s">
        <v>102</v>
      </c>
      <c r="S4" s="2">
        <v>0.16596302351145101</v>
      </c>
      <c r="T4" s="2">
        <v>0.147063899596478</v>
      </c>
    </row>
    <row r="5" spans="1:20" x14ac:dyDescent="0.25">
      <c r="A5" s="1">
        <v>0</v>
      </c>
      <c r="B5" t="s">
        <v>68</v>
      </c>
      <c r="C5" t="str">
        <f>TEXT(ROUND('Mitigation Condensed'!C6,3),"0.000") &amp; " (" &amp; TEXT(ROUND('Mitigation Condensed'!D6,3),"0.000") &amp; ")"</f>
        <v>0.086 (0.000)</v>
      </c>
      <c r="D5" t="str">
        <f>TEXT(ROUND('Mitigation Condensed'!E6,3),"0.000") &amp; " (" &amp; TEXT(ROUND('Mitigation Condensed'!F6,3),"0.000") &amp; ")"</f>
        <v>0.110 (0.000)</v>
      </c>
      <c r="E5" t="str">
        <f>TEXT(ROUND('Mitigation Condensed'!G6,3),"0.000") &amp; " (" &amp; TEXT(ROUND('Mitigation Condensed'!H6,3),"0.000") &amp; ")"</f>
        <v>0.000 (1.000)</v>
      </c>
      <c r="F5" t="str">
        <f>TEXT(ROUND('Mitigation Condensed'!I6,3),"0.000") &amp; " (" &amp; TEXT(ROUND('Mitigation Condensed'!J6,3),"0.000") &amp; ")"</f>
        <v>0.058 (0.000)</v>
      </c>
      <c r="G5" t="str">
        <f>TEXT(ROUND('Mitigation Condensed'!K6,3),"0.000") &amp; " (" &amp; TEXT(ROUND('Mitigation Condensed'!L6,3),"0.000") &amp; ")"</f>
        <v>0.060 (0.003)</v>
      </c>
      <c r="H5" s="2">
        <f>Unmitigated!C6</f>
        <v>0.156747081714217</v>
      </c>
      <c r="I5" s="2">
        <f>Unmitigated!D6</f>
        <v>0.14799268257013901</v>
      </c>
      <c r="L5" s="13">
        <v>0.25</v>
      </c>
      <c r="M5" s="12" t="s">
        <v>62</v>
      </c>
      <c r="N5" s="12" t="s">
        <v>125</v>
      </c>
      <c r="O5" s="12" t="s">
        <v>139</v>
      </c>
      <c r="P5" s="12" t="s">
        <v>161</v>
      </c>
      <c r="Q5" s="12" t="s">
        <v>102</v>
      </c>
      <c r="R5" s="12" t="s">
        <v>169</v>
      </c>
      <c r="S5" s="2">
        <v>0.16596302351145101</v>
      </c>
      <c r="T5" s="2">
        <v>0.147063899596478</v>
      </c>
    </row>
    <row r="6" spans="1:20" x14ac:dyDescent="0.25">
      <c r="A6" s="1">
        <v>0</v>
      </c>
      <c r="B6" t="s">
        <v>69</v>
      </c>
      <c r="C6" t="str">
        <f>TEXT(ROUND('Mitigation Condensed'!C7,3),"0.000") &amp; " (" &amp; TEXT(ROUND('Mitigation Condensed'!D7,3),"0.000") &amp; ")"</f>
        <v>0.078 (0.000)</v>
      </c>
      <c r="D6" t="str">
        <f>TEXT(ROUND('Mitigation Condensed'!E7,3),"0.000") &amp; " (" &amp; TEXT(ROUND('Mitigation Condensed'!F7,3),"0.000") &amp; ")"</f>
        <v>0.113 (0.000)</v>
      </c>
      <c r="E6" t="str">
        <f>TEXT(ROUND('Mitigation Condensed'!G7,3),"0.000") &amp; " (" &amp; TEXT(ROUND('Mitigation Condensed'!H7,3),"0.000") &amp; ")"</f>
        <v>0.000 (1.000)</v>
      </c>
      <c r="F6" t="str">
        <f>TEXT(ROUND('Mitigation Condensed'!I7,3),"0.000") &amp; " (" &amp; TEXT(ROUND('Mitigation Condensed'!J7,3),"0.000") &amp; ")"</f>
        <v>0.065 (0.000)</v>
      </c>
      <c r="G6" t="str">
        <f>TEXT(ROUND('Mitigation Condensed'!K7,3),"0.000") &amp; " (" &amp; TEXT(ROUND('Mitigation Condensed'!L7,3),"0.000") &amp; ")"</f>
        <v>0.062 (0.017)</v>
      </c>
      <c r="H6" s="2">
        <f>Unmitigated!C7</f>
        <v>0.168519407311474</v>
      </c>
      <c r="I6" s="2">
        <f>Unmitigated!D7</f>
        <v>0.16782986380780399</v>
      </c>
      <c r="K6" s="1"/>
      <c r="L6" s="13">
        <v>0.5</v>
      </c>
      <c r="M6" s="12" t="s">
        <v>62</v>
      </c>
      <c r="N6" s="12" t="s">
        <v>78</v>
      </c>
      <c r="O6" s="12" t="s">
        <v>79</v>
      </c>
      <c r="P6" s="12" t="s">
        <v>80</v>
      </c>
      <c r="Q6" s="12" t="s">
        <v>80</v>
      </c>
      <c r="R6" s="12" t="s">
        <v>81</v>
      </c>
      <c r="S6" s="2">
        <v>0.16596302351145101</v>
      </c>
      <c r="T6" s="2">
        <v>0.147063899596478</v>
      </c>
    </row>
    <row r="7" spans="1:20" x14ac:dyDescent="0.25">
      <c r="A7" s="1">
        <v>0</v>
      </c>
      <c r="B7" t="s">
        <v>70</v>
      </c>
      <c r="C7" t="str">
        <f>TEXT(ROUND('Mitigation Condensed'!C8,3),"0.000") &amp; " (" &amp; TEXT(ROUND('Mitigation Condensed'!D8,3),"0.000") &amp; ")"</f>
        <v>0.106 (0.000)</v>
      </c>
      <c r="D7" t="str">
        <f>TEXT(ROUND('Mitigation Condensed'!E8,3),"0.000") &amp; " (" &amp; TEXT(ROUND('Mitigation Condensed'!F8,3),"0.000") &amp; ")"</f>
        <v>0.123 (0.000)</v>
      </c>
      <c r="E7" t="str">
        <f>TEXT(ROUND('Mitigation Condensed'!G8,3),"0.000") &amp; " (" &amp; TEXT(ROUND('Mitigation Condensed'!H8,3),"0.000") &amp; ")"</f>
        <v>0.094 (0.814)</v>
      </c>
      <c r="F7" t="str">
        <f>TEXT(ROUND('Mitigation Condensed'!I8,3),"0.000") &amp; " (" &amp; TEXT(ROUND('Mitigation Condensed'!J8,3),"0.000") &amp; ")"</f>
        <v>0.074 (0.000)</v>
      </c>
      <c r="G7" t="str">
        <f>TEXT(ROUND('Mitigation Condensed'!K8,3),"0.000") &amp; " (" &amp; TEXT(ROUND('Mitigation Condensed'!L8,3),"0.000") &amp; ")"</f>
        <v>0.058 (0.071)</v>
      </c>
      <c r="H7" s="2">
        <f>Unmitigated!C8</f>
        <v>0.18708791264740801</v>
      </c>
      <c r="I7" s="2">
        <f>Unmitigated!D8</f>
        <v>0.16204223060428399</v>
      </c>
      <c r="K7" s="1"/>
      <c r="L7" s="13">
        <v>0.75</v>
      </c>
      <c r="M7" s="12" t="s">
        <v>62</v>
      </c>
      <c r="N7" s="12" t="s">
        <v>82</v>
      </c>
      <c r="O7" s="12" t="s">
        <v>83</v>
      </c>
      <c r="P7" s="12" t="s">
        <v>84</v>
      </c>
      <c r="Q7" s="12" t="s">
        <v>85</v>
      </c>
      <c r="R7" s="12" t="s">
        <v>86</v>
      </c>
      <c r="S7" s="2">
        <v>0.16596302351145101</v>
      </c>
      <c r="T7" s="2">
        <v>0.147063899596478</v>
      </c>
    </row>
    <row r="8" spans="1:20" x14ac:dyDescent="0.25">
      <c r="A8" s="1">
        <v>0</v>
      </c>
      <c r="B8" t="s">
        <v>71</v>
      </c>
      <c r="C8" t="str">
        <f>TEXT(ROUND('Mitigation Condensed'!C9,3),"0.000") &amp; " (" &amp; TEXT(ROUND('Mitigation Condensed'!D9,3),"0.000") &amp; ")"</f>
        <v>0.110 (0.000)</v>
      </c>
      <c r="D8" t="str">
        <f>TEXT(ROUND('Mitigation Condensed'!E9,3),"0.000") &amp; " (" &amp; TEXT(ROUND('Mitigation Condensed'!F9,3),"0.000") &amp; ")"</f>
        <v>0.126 (0.000)</v>
      </c>
      <c r="E8" t="str">
        <f>TEXT(ROUND('Mitigation Condensed'!G9,3),"0.000") &amp; " (" &amp; TEXT(ROUND('Mitigation Condensed'!H9,3),"0.000") &amp; ")"</f>
        <v>0.000 (1.000)</v>
      </c>
      <c r="F8" t="str">
        <f>TEXT(ROUND('Mitigation Condensed'!I9,3),"0.000") &amp; " (" &amp; TEXT(ROUND('Mitigation Condensed'!J9,3),"0.000") &amp; ")"</f>
        <v>0.071 (0.000)</v>
      </c>
      <c r="G8" t="str">
        <f>TEXT(ROUND('Mitigation Condensed'!K9,3),"0.000") &amp; " (" &amp; TEXT(ROUND('Mitigation Condensed'!L9,3),"0.000") &amp; ")"</f>
        <v>0.075 (0.000)</v>
      </c>
      <c r="H8" s="2">
        <f>Unmitigated!C9</f>
        <v>0.18556205160891101</v>
      </c>
      <c r="I8" s="2">
        <f>Unmitigated!D9</f>
        <v>0.17374840620408999</v>
      </c>
      <c r="K8" s="1"/>
      <c r="L8" s="13">
        <v>1</v>
      </c>
      <c r="M8" s="12" t="s">
        <v>62</v>
      </c>
      <c r="N8" s="12" t="s">
        <v>87</v>
      </c>
      <c r="O8" s="12" t="s">
        <v>88</v>
      </c>
      <c r="P8" s="12" t="s">
        <v>84</v>
      </c>
      <c r="Q8" s="12" t="s">
        <v>87</v>
      </c>
      <c r="R8" s="12" t="s">
        <v>89</v>
      </c>
      <c r="S8" s="2">
        <v>0.16596302351145101</v>
      </c>
      <c r="T8" s="2">
        <v>0.147063899596478</v>
      </c>
    </row>
    <row r="9" spans="1:20" x14ac:dyDescent="0.25">
      <c r="A9" s="1">
        <v>0</v>
      </c>
      <c r="B9" t="s">
        <v>72</v>
      </c>
      <c r="C9" t="str">
        <f>TEXT(ROUND('Mitigation Condensed'!C10,3),"0.000") &amp; " (" &amp; TEXT(ROUND('Mitigation Condensed'!D10,3),"0.000") &amp; ")"</f>
        <v>0.105 (0.000)</v>
      </c>
      <c r="D9" t="str">
        <f>TEXT(ROUND('Mitigation Condensed'!E10,3),"0.000") &amp; " (" &amp; TEXT(ROUND('Mitigation Condensed'!F10,3),"0.000") &amp; ")"</f>
        <v>0.130 (0.000)</v>
      </c>
      <c r="E9" t="str">
        <f>TEXT(ROUND('Mitigation Condensed'!G10,3),"0.000") &amp; " (" &amp; TEXT(ROUND('Mitigation Condensed'!H10,3),"0.000") &amp; ")"</f>
        <v>0.000 (1.000)</v>
      </c>
      <c r="F9" t="str">
        <f>TEXT(ROUND('Mitigation Condensed'!I10,3),"0.000") &amp; " (" &amp; TEXT(ROUND('Mitigation Condensed'!J10,3),"0.000") &amp; ")"</f>
        <v>0.071 (0.000)</v>
      </c>
      <c r="G9" t="str">
        <f>TEXT(ROUND('Mitigation Condensed'!K10,3),"0.000") &amp; " (" &amp; TEXT(ROUND('Mitigation Condensed'!L10,3),"0.000") &amp; ")"</f>
        <v>0.095 (0.000)</v>
      </c>
      <c r="H9" s="2">
        <f>Unmitigated!C10</f>
        <v>0.18961654033707001</v>
      </c>
      <c r="I9" s="2">
        <f>Unmitigated!D10</f>
        <v>0.18853550688402901</v>
      </c>
      <c r="K9" s="1"/>
      <c r="L9" s="13">
        <v>0</v>
      </c>
      <c r="M9" s="12" t="s">
        <v>63</v>
      </c>
      <c r="N9" s="12" t="s">
        <v>90</v>
      </c>
      <c r="O9" s="12" t="s">
        <v>91</v>
      </c>
      <c r="P9" s="12" t="s">
        <v>92</v>
      </c>
      <c r="Q9" s="12" t="s">
        <v>93</v>
      </c>
      <c r="R9" s="12" t="s">
        <v>94</v>
      </c>
      <c r="S9" s="2">
        <v>0.198645968998965</v>
      </c>
      <c r="T9" s="2">
        <v>0.210783900501086</v>
      </c>
    </row>
    <row r="10" spans="1:20" x14ac:dyDescent="0.25">
      <c r="A10" s="1">
        <v>0</v>
      </c>
      <c r="B10" t="s">
        <v>73</v>
      </c>
      <c r="C10" t="str">
        <f>TEXT(ROUND('Mitigation Condensed'!C11,3),"0.000") &amp; " (" &amp; TEXT(ROUND('Mitigation Condensed'!D11,3),"0.000") &amp; ")"</f>
        <v>0.106 (0.000)</v>
      </c>
      <c r="D10" t="str">
        <f>TEXT(ROUND('Mitigation Condensed'!E11,3),"0.000") &amp; " (" &amp; TEXT(ROUND('Mitigation Condensed'!F11,3),"0.000") &amp; ")"</f>
        <v>0.129 (0.000)</v>
      </c>
      <c r="E10" t="str">
        <f>TEXT(ROUND('Mitigation Condensed'!G11,3),"0.000") &amp; " (" &amp; TEXT(ROUND('Mitigation Condensed'!H11,3),"0.000") &amp; ")"</f>
        <v>0.000 (1.000)</v>
      </c>
      <c r="F10" t="str">
        <f>TEXT(ROUND('Mitigation Condensed'!I11,3),"0.000") &amp; " (" &amp; TEXT(ROUND('Mitigation Condensed'!J11,3),"0.000") &amp; ")"</f>
        <v>0.058 (0.000)</v>
      </c>
      <c r="G10" t="str">
        <f>TEXT(ROUND('Mitigation Condensed'!K11,3),"0.000") &amp; " (" &amp; TEXT(ROUND('Mitigation Condensed'!L11,3),"0.000") &amp; ")"</f>
        <v>0.074 (0.000)</v>
      </c>
      <c r="H10" s="2">
        <f>Unmitigated!C11</f>
        <v>0.179362777161995</v>
      </c>
      <c r="I10" s="2">
        <f>Unmitigated!D11</f>
        <v>0.17621821829168299</v>
      </c>
      <c r="K10" s="1"/>
      <c r="L10" s="13">
        <v>0.25</v>
      </c>
      <c r="M10" s="12" t="s">
        <v>63</v>
      </c>
      <c r="N10" s="12" t="s">
        <v>95</v>
      </c>
      <c r="O10" s="12" t="s">
        <v>96</v>
      </c>
      <c r="P10" s="12" t="s">
        <v>97</v>
      </c>
      <c r="Q10" s="12" t="s">
        <v>98</v>
      </c>
      <c r="R10" s="12" t="s">
        <v>99</v>
      </c>
      <c r="S10" s="2">
        <v>0.198645968998965</v>
      </c>
      <c r="T10" s="2">
        <v>0.210783900501086</v>
      </c>
    </row>
    <row r="11" spans="1:20" x14ac:dyDescent="0.25">
      <c r="A11" s="1">
        <v>0</v>
      </c>
      <c r="B11" t="s">
        <v>74</v>
      </c>
      <c r="C11" t="str">
        <f>TEXT(ROUND('Mitigation Condensed'!C12,3),"0.000") &amp; " (" &amp; TEXT(ROUND('Mitigation Condensed'!D12,3),"0.000") &amp; ")"</f>
        <v>0.069 (0.000)</v>
      </c>
      <c r="D11" t="str">
        <f>TEXT(ROUND('Mitigation Condensed'!E12,3),"0.000") &amp; " (" &amp; TEXT(ROUND('Mitigation Condensed'!F12,3),"0.000") &amp; ")"</f>
        <v>0.086 (0.000)</v>
      </c>
      <c r="E11" t="str">
        <f>TEXT(ROUND('Mitigation Condensed'!G12,3),"0.000") &amp; " (" &amp; TEXT(ROUND('Mitigation Condensed'!H12,3),"0.000") &amp; ")"</f>
        <v>0.000 (1.000)</v>
      </c>
      <c r="F11" t="str">
        <f>TEXT(ROUND('Mitigation Condensed'!I12,3),"0.000") &amp; " (" &amp; TEXT(ROUND('Mitigation Condensed'!J12,3),"0.000") &amp; ")"</f>
        <v>0.074 (0.000)</v>
      </c>
      <c r="G11" t="str">
        <f>TEXT(ROUND('Mitigation Condensed'!K12,3),"0.000") &amp; " (" &amp; TEXT(ROUND('Mitigation Condensed'!L12,3),"0.000") &amp; ")"</f>
        <v>0.058 (0.008)</v>
      </c>
      <c r="H11" s="2">
        <f>Unmitigated!C12</f>
        <v>0.165228648815406</v>
      </c>
      <c r="I11" s="2">
        <f>Unmitigated!D12</f>
        <v>0.16030496590530799</v>
      </c>
      <c r="L11" s="13">
        <v>0.5</v>
      </c>
      <c r="M11" s="12" t="s">
        <v>63</v>
      </c>
      <c r="N11" s="12" t="s">
        <v>95</v>
      </c>
      <c r="O11" s="12" t="s">
        <v>100</v>
      </c>
      <c r="P11" s="12" t="s">
        <v>101</v>
      </c>
      <c r="Q11" s="12" t="s">
        <v>102</v>
      </c>
      <c r="R11" s="12" t="s">
        <v>103</v>
      </c>
      <c r="S11" s="2">
        <v>0.198645968998965</v>
      </c>
      <c r="T11" s="2">
        <v>0.210783900501086</v>
      </c>
    </row>
    <row r="12" spans="1:20" x14ac:dyDescent="0.25">
      <c r="A12" s="1">
        <v>0.25</v>
      </c>
      <c r="B12" t="s">
        <v>62</v>
      </c>
      <c r="C12" t="str">
        <f>TEXT(ROUND('Mitigation Condensed'!C13,3),"0.000") &amp; " (" &amp; TEXT(ROUND('Mitigation Condensed'!D13,3),"0.000") &amp; ")"</f>
        <v>0.063 (0.000)</v>
      </c>
      <c r="D12" t="str">
        <f>TEXT(ROUND('Mitigation Condensed'!E13,3),"0.000") &amp; " (" &amp; TEXT(ROUND('Mitigation Condensed'!F13,3),"0.000") &amp; ")"</f>
        <v>0.099 (0.000)</v>
      </c>
      <c r="E12" t="str">
        <f>TEXT(ROUND('Mitigation Condensed'!G13,3),"0.000") &amp; " (" &amp; TEXT(ROUND('Mitigation Condensed'!H13,3),"0.000") &amp; ")"</f>
        <v>0.093 (0.000)</v>
      </c>
      <c r="F12" t="str">
        <f>TEXT(ROUND('Mitigation Condensed'!I13,3),"0.000") &amp; " (" &amp; TEXT(ROUND('Mitigation Condensed'!J13,3),"0.000") &amp; ")"</f>
        <v>0.043 (0.000)</v>
      </c>
      <c r="G12" t="str">
        <f>TEXT(ROUND('Mitigation Condensed'!K13,3),"0.000") &amp; " (" &amp; TEXT(ROUND('Mitigation Condensed'!L13,3),"0.000") &amp; ")"</f>
        <v>0.057 (0.000)</v>
      </c>
      <c r="H12" s="2">
        <f>Unmitigated!C13</f>
        <v>0.16596302351145101</v>
      </c>
      <c r="I12" s="2">
        <f>Unmitigated!D13</f>
        <v>0.147063899596478</v>
      </c>
      <c r="L12" s="13">
        <v>0.75</v>
      </c>
      <c r="M12" s="12" t="s">
        <v>63</v>
      </c>
      <c r="N12" s="12" t="s">
        <v>104</v>
      </c>
      <c r="O12" s="12" t="s">
        <v>105</v>
      </c>
      <c r="P12" s="12" t="s">
        <v>106</v>
      </c>
      <c r="Q12" s="12" t="s">
        <v>107</v>
      </c>
      <c r="R12" s="12" t="s">
        <v>90</v>
      </c>
      <c r="S12" s="2">
        <v>0.198645968998965</v>
      </c>
      <c r="T12" s="2">
        <v>0.210783900501086</v>
      </c>
    </row>
    <row r="13" spans="1:20" x14ac:dyDescent="0.25">
      <c r="A13" s="1">
        <v>0.25</v>
      </c>
      <c r="B13" t="s">
        <v>63</v>
      </c>
      <c r="C13" t="str">
        <f>TEXT(ROUND('Mitigation Condensed'!C14,3),"0.000") &amp; " (" &amp; TEXT(ROUND('Mitigation Condensed'!D14,3),"0.000") &amp; ")"</f>
        <v>0.113 (0.000)</v>
      </c>
      <c r="D13" t="str">
        <f>TEXT(ROUND('Mitigation Condensed'!E14,3),"0.000") &amp; " (" &amp; TEXT(ROUND('Mitigation Condensed'!F14,3),"0.000") &amp; ")"</f>
        <v>0.135 (0.000)</v>
      </c>
      <c r="E13" t="str">
        <f>TEXT(ROUND('Mitigation Condensed'!G14,3),"0.000") &amp; " (" &amp; TEXT(ROUND('Mitigation Condensed'!H14,3),"0.000") &amp; ")"</f>
        <v>0.136 (0.000)</v>
      </c>
      <c r="F13" t="str">
        <f>TEXT(ROUND('Mitigation Condensed'!I14,3),"0.000") &amp; " (" &amp; TEXT(ROUND('Mitigation Condensed'!J14,3),"0.000") &amp; ")"</f>
        <v>0.119 (0.000)</v>
      </c>
      <c r="G13" t="str">
        <f>TEXT(ROUND('Mitigation Condensed'!K14,3),"0.000") &amp; " (" &amp; TEXT(ROUND('Mitigation Condensed'!L14,3),"0.000") &amp; ")"</f>
        <v>0.134 (0.000)</v>
      </c>
      <c r="H13" s="2">
        <f>Unmitigated!C14</f>
        <v>0.198645968998965</v>
      </c>
      <c r="I13" s="2">
        <f>Unmitigated!D14</f>
        <v>0.210783900501086</v>
      </c>
      <c r="L13" s="13">
        <v>1</v>
      </c>
      <c r="M13" s="12" t="s">
        <v>63</v>
      </c>
      <c r="N13" s="12" t="s">
        <v>108</v>
      </c>
      <c r="O13" s="12" t="s">
        <v>109</v>
      </c>
      <c r="P13" s="12" t="s">
        <v>110</v>
      </c>
      <c r="Q13" s="12" t="s">
        <v>111</v>
      </c>
      <c r="R13" s="12" t="s">
        <v>96</v>
      </c>
      <c r="S13" s="2">
        <v>0.198645968998965</v>
      </c>
      <c r="T13" s="2">
        <v>0.210783900501086</v>
      </c>
    </row>
    <row r="14" spans="1:20" x14ac:dyDescent="0.25">
      <c r="A14" s="1">
        <v>0.25</v>
      </c>
      <c r="B14" t="s">
        <v>68</v>
      </c>
      <c r="C14" t="str">
        <f>TEXT(ROUND('Mitigation Condensed'!C15,3),"0.000") &amp; " (" &amp; TEXT(ROUND('Mitigation Condensed'!D15,3),"0.000") &amp; ")"</f>
        <v>0.087 (0.000)</v>
      </c>
      <c r="D14" t="str">
        <f>TEXT(ROUND('Mitigation Condensed'!E15,3),"0.000") &amp; " (" &amp; TEXT(ROUND('Mitigation Condensed'!F15,3),"0.000") &amp; ")"</f>
        <v>0.107 (0.000)</v>
      </c>
      <c r="E14" t="str">
        <f>TEXT(ROUND('Mitigation Condensed'!G15,3),"0.000") &amp; " (" &amp; TEXT(ROUND('Mitigation Condensed'!H15,3),"0.000") &amp; ")"</f>
        <v>0.086 (0.098)</v>
      </c>
      <c r="F14" t="str">
        <f>TEXT(ROUND('Mitigation Condensed'!I15,3),"0.000") &amp; " (" &amp; TEXT(ROUND('Mitigation Condensed'!J15,3),"0.000") &amp; ")"</f>
        <v>0.044 (0.005)</v>
      </c>
      <c r="G14" t="str">
        <f>TEXT(ROUND('Mitigation Condensed'!K15,3),"0.000") &amp; " (" &amp; TEXT(ROUND('Mitigation Condensed'!L15,3),"0.000") &amp; ")"</f>
        <v>0.074 (0.000)</v>
      </c>
      <c r="H14" s="2">
        <f>Unmitigated!C15</f>
        <v>0.156747081714217</v>
      </c>
      <c r="I14" s="2">
        <f>Unmitigated!D15</f>
        <v>0.14799268257013901</v>
      </c>
      <c r="K14" s="1"/>
    </row>
    <row r="15" spans="1:20" x14ac:dyDescent="0.25">
      <c r="A15" s="1">
        <v>0.25</v>
      </c>
      <c r="B15" t="s">
        <v>69</v>
      </c>
      <c r="C15" t="str">
        <f>TEXT(ROUND('Mitigation Condensed'!C16,3),"0.000") &amp; " (" &amp; TEXT(ROUND('Mitigation Condensed'!D16,3),"0.000") &amp; ")"</f>
        <v>0.082 (0.000)</v>
      </c>
      <c r="D15" t="str">
        <f>TEXT(ROUND('Mitigation Condensed'!E16,3),"0.000") &amp; " (" &amp; TEXT(ROUND('Mitigation Condensed'!F16,3),"0.000") &amp; ")"</f>
        <v>0.111 (0.000)</v>
      </c>
      <c r="E15" t="str">
        <f>TEXT(ROUND('Mitigation Condensed'!G16,3),"0.000") &amp; " (" &amp; TEXT(ROUND('Mitigation Condensed'!H16,3),"0.000") &amp; ")"</f>
        <v>0.109 (0.000)</v>
      </c>
      <c r="F15" t="str">
        <f>TEXT(ROUND('Mitigation Condensed'!I16,3),"0.000") &amp; " (" &amp; TEXT(ROUND('Mitigation Condensed'!J16,3),"0.000") &amp; ")"</f>
        <v>0.038 (0.100)</v>
      </c>
      <c r="G15" t="str">
        <f>TEXT(ROUND('Mitigation Condensed'!K16,3),"0.000") &amp; " (" &amp; TEXT(ROUND('Mitigation Condensed'!L16,3),"0.000") &amp; ")"</f>
        <v>0.088 (0.000)</v>
      </c>
      <c r="H15" s="2">
        <f>Unmitigated!C16</f>
        <v>0.168519407311474</v>
      </c>
      <c r="I15" s="2">
        <f>Unmitigated!D16</f>
        <v>0.16782986380780399</v>
      </c>
      <c r="K15" s="1"/>
      <c r="L15" t="s">
        <v>54</v>
      </c>
      <c r="M15" t="s">
        <v>77</v>
      </c>
      <c r="N15"/>
      <c r="O15"/>
      <c r="P15"/>
      <c r="Q15"/>
      <c r="R15"/>
      <c r="S15"/>
      <c r="T15"/>
    </row>
    <row r="16" spans="1:20" x14ac:dyDescent="0.25">
      <c r="A16" s="1">
        <v>0.25</v>
      </c>
      <c r="B16" t="s">
        <v>70</v>
      </c>
      <c r="C16" t="str">
        <f>TEXT(ROUND('Mitigation Condensed'!C17,3),"0.000") &amp; " (" &amp; TEXT(ROUND('Mitigation Condensed'!D17,3),"0.000") &amp; ")"</f>
        <v>0.103 (0.000)</v>
      </c>
      <c r="D16" t="str">
        <f>TEXT(ROUND('Mitigation Condensed'!E17,3),"0.000") &amp; " (" &amp; TEXT(ROUND('Mitigation Condensed'!F17,3),"0.000") &amp; ")"</f>
        <v>0.122 (0.000)</v>
      </c>
      <c r="E16" t="str">
        <f>TEXT(ROUND('Mitigation Condensed'!G17,3),"0.000") &amp; " (" &amp; TEXT(ROUND('Mitigation Condensed'!H17,3),"0.000") &amp; ")"</f>
        <v>0.108 (0.000)</v>
      </c>
      <c r="F16" t="str">
        <f>TEXT(ROUND('Mitigation Condensed'!I17,3),"0.000") &amp; " (" &amp; TEXT(ROUND('Mitigation Condensed'!J17,3),"0.000") &amp; ")"</f>
        <v>0.073 (0.000)</v>
      </c>
      <c r="G16" t="str">
        <f>TEXT(ROUND('Mitigation Condensed'!K17,3),"0.000") &amp; " (" &amp; TEXT(ROUND('Mitigation Condensed'!L17,3),"0.000") &amp; ")"</f>
        <v>0.078 (0.000)</v>
      </c>
      <c r="H16" s="2">
        <f>Unmitigated!C17</f>
        <v>0.18708791264740801</v>
      </c>
      <c r="I16" s="2">
        <f>Unmitigated!D17</f>
        <v>0.16204223060428399</v>
      </c>
      <c r="K16" s="1"/>
      <c r="L16" t="s">
        <v>58</v>
      </c>
      <c r="M16" t="s">
        <v>64</v>
      </c>
      <c r="N16" t="s">
        <v>6</v>
      </c>
      <c r="O16" t="s">
        <v>16</v>
      </c>
      <c r="P16" t="s">
        <v>53</v>
      </c>
      <c r="Q16" t="s">
        <v>3</v>
      </c>
      <c r="R16" t="s">
        <v>67</v>
      </c>
      <c r="S16" t="s">
        <v>75</v>
      </c>
      <c r="T16" t="s">
        <v>76</v>
      </c>
    </row>
    <row r="17" spans="1:20" x14ac:dyDescent="0.25">
      <c r="A17" s="1">
        <v>0.25</v>
      </c>
      <c r="B17" t="s">
        <v>71</v>
      </c>
      <c r="C17" t="str">
        <f>TEXT(ROUND('Mitigation Condensed'!C18,3),"0.000") &amp; " (" &amp; TEXT(ROUND('Mitigation Condensed'!D18,3),"0.000") &amp; ")"</f>
        <v>0.103 (0.000)</v>
      </c>
      <c r="D17" t="str">
        <f>TEXT(ROUND('Mitigation Condensed'!E18,3),"0.000") &amp; " (" &amp; TEXT(ROUND('Mitigation Condensed'!F18,3),"0.000") &amp; ")"</f>
        <v>0.125 (0.000)</v>
      </c>
      <c r="E17" t="str">
        <f>TEXT(ROUND('Mitigation Condensed'!G18,3),"0.000") &amp; " (" &amp; TEXT(ROUND('Mitigation Condensed'!H18,3),"0.000") &amp; ")"</f>
        <v>0.101 (0.001)</v>
      </c>
      <c r="F17" t="str">
        <f>TEXT(ROUND('Mitigation Condensed'!I18,3),"0.000") &amp; " (" &amp; TEXT(ROUND('Mitigation Condensed'!J18,3),"0.000") &amp; ")"</f>
        <v>0.068 (0.004)</v>
      </c>
      <c r="G17" t="str">
        <f>TEXT(ROUND('Mitigation Condensed'!K18,3),"0.000") &amp; " (" &amp; TEXT(ROUND('Mitigation Condensed'!L18,3),"0.000") &amp; ")"</f>
        <v>0.095 (0.000)</v>
      </c>
      <c r="H17" s="2">
        <f>Unmitigated!C18</f>
        <v>0.18556205160891101</v>
      </c>
      <c r="I17" s="2">
        <f>Unmitigated!D18</f>
        <v>0.17374840620408999</v>
      </c>
      <c r="K17" s="1"/>
      <c r="L17" s="1">
        <v>0</v>
      </c>
      <c r="M17" t="s">
        <v>68</v>
      </c>
      <c r="N17" t="s">
        <v>112</v>
      </c>
      <c r="O17" t="s">
        <v>88</v>
      </c>
      <c r="P17" t="s">
        <v>84</v>
      </c>
      <c r="Q17" t="s">
        <v>113</v>
      </c>
      <c r="R17" t="s">
        <v>114</v>
      </c>
      <c r="S17" s="2">
        <v>0.156747081714217</v>
      </c>
      <c r="T17" s="2">
        <v>0.14799268257013901</v>
      </c>
    </row>
    <row r="18" spans="1:20" x14ac:dyDescent="0.25">
      <c r="A18" s="1">
        <v>0.25</v>
      </c>
      <c r="B18" t="s">
        <v>72</v>
      </c>
      <c r="C18" t="str">
        <f>TEXT(ROUND('Mitigation Condensed'!C19,3),"0.000") &amp; " (" &amp; TEXT(ROUND('Mitigation Condensed'!D19,3),"0.000") &amp; ")"</f>
        <v>0.106 (0.000)</v>
      </c>
      <c r="D18" t="str">
        <f>TEXT(ROUND('Mitigation Condensed'!E19,3),"0.000") &amp; " (" &amp; TEXT(ROUND('Mitigation Condensed'!F19,3),"0.000") &amp; ")"</f>
        <v>0.131 (0.000)</v>
      </c>
      <c r="E18" t="str">
        <f>TEXT(ROUND('Mitigation Condensed'!G19,3),"0.000") &amp; " (" &amp; TEXT(ROUND('Mitigation Condensed'!H19,3),"0.000") &amp; ")"</f>
        <v>0.114 (0.000)</v>
      </c>
      <c r="F18" t="str">
        <f>TEXT(ROUND('Mitigation Condensed'!I19,3),"0.000") &amp; " (" &amp; TEXT(ROUND('Mitigation Condensed'!J19,3),"0.000") &amp; ")"</f>
        <v>0.075 (0.000)</v>
      </c>
      <c r="G18" t="str">
        <f>TEXT(ROUND('Mitigation Condensed'!K19,3),"0.000") &amp; " (" &amp; TEXT(ROUND('Mitigation Condensed'!L19,3),"0.000") &amp; ")"</f>
        <v>0.108 (0.000)</v>
      </c>
      <c r="H18" s="2">
        <f>Unmitigated!C19</f>
        <v>0.18961654033707001</v>
      </c>
      <c r="I18" s="2">
        <f>Unmitigated!D19</f>
        <v>0.18853550688402901</v>
      </c>
      <c r="K18" s="1"/>
      <c r="L18" s="1">
        <v>0.25</v>
      </c>
      <c r="M18" t="s">
        <v>68</v>
      </c>
      <c r="N18" t="s">
        <v>107</v>
      </c>
      <c r="O18" t="s">
        <v>79</v>
      </c>
      <c r="P18" t="s">
        <v>115</v>
      </c>
      <c r="Q18" t="s">
        <v>116</v>
      </c>
      <c r="R18" t="s">
        <v>117</v>
      </c>
      <c r="S18" s="2">
        <v>0.156747081714217</v>
      </c>
      <c r="T18" s="2">
        <v>0.14799268257013901</v>
      </c>
    </row>
    <row r="19" spans="1:20" x14ac:dyDescent="0.25">
      <c r="A19" s="1">
        <v>0.25</v>
      </c>
      <c r="B19" t="s">
        <v>73</v>
      </c>
      <c r="C19" t="str">
        <f>TEXT(ROUND('Mitigation Condensed'!C20,3),"0.000") &amp; " (" &amp; TEXT(ROUND('Mitigation Condensed'!D20,3),"0.000") &amp; ")"</f>
        <v>0.108 (0.000)</v>
      </c>
      <c r="D19" t="str">
        <f>TEXT(ROUND('Mitigation Condensed'!E20,3),"0.000") &amp; " (" &amp; TEXT(ROUND('Mitigation Condensed'!F20,3),"0.000") &amp; ")"</f>
        <v>0.131 (0.000)</v>
      </c>
      <c r="E19" t="str">
        <f>TEXT(ROUND('Mitigation Condensed'!G20,3),"0.000") &amp; " (" &amp; TEXT(ROUND('Mitigation Condensed'!H20,3),"0.000") &amp; ")"</f>
        <v>0.113 (0.000)</v>
      </c>
      <c r="F19" t="str">
        <f>TEXT(ROUND('Mitigation Condensed'!I20,3),"0.000") &amp; " (" &amp; TEXT(ROUND('Mitigation Condensed'!J20,3),"0.000") &amp; ")"</f>
        <v>0.070 (0.000)</v>
      </c>
      <c r="G19" t="str">
        <f>TEXT(ROUND('Mitigation Condensed'!K20,3),"0.000") &amp; " (" &amp; TEXT(ROUND('Mitigation Condensed'!L20,3),"0.000") &amp; ")"</f>
        <v>0.097 (0.000)</v>
      </c>
      <c r="H19" s="2">
        <f>Unmitigated!C20</f>
        <v>0.179362777161995</v>
      </c>
      <c r="I19" s="2">
        <f>Unmitigated!D20</f>
        <v>0.17621821829168299</v>
      </c>
      <c r="L19" s="1">
        <v>0.5</v>
      </c>
      <c r="M19" t="s">
        <v>68</v>
      </c>
      <c r="N19" t="s">
        <v>112</v>
      </c>
      <c r="O19" t="s">
        <v>118</v>
      </c>
      <c r="P19" t="s">
        <v>119</v>
      </c>
      <c r="Q19" t="s">
        <v>120</v>
      </c>
      <c r="R19" t="s">
        <v>121</v>
      </c>
      <c r="S19" s="2">
        <v>0.156747081714217</v>
      </c>
      <c r="T19" s="2">
        <v>0.14799268257013901</v>
      </c>
    </row>
    <row r="20" spans="1:20" x14ac:dyDescent="0.25">
      <c r="A20" s="1">
        <v>0.25</v>
      </c>
      <c r="B20" t="s">
        <v>74</v>
      </c>
      <c r="C20" t="str">
        <f>TEXT(ROUND('Mitigation Condensed'!C21,3),"0.000") &amp; " (" &amp; TEXT(ROUND('Mitigation Condensed'!D21,3),"0.000") &amp; ")"</f>
        <v>0.062 (0.000)</v>
      </c>
      <c r="D20" t="str">
        <f>TEXT(ROUND('Mitigation Condensed'!E21,3),"0.000") &amp; " (" &amp; TEXT(ROUND('Mitigation Condensed'!F21,3),"0.000") &amp; ")"</f>
        <v>0.090 (0.000)</v>
      </c>
      <c r="E20" t="str">
        <f>TEXT(ROUND('Mitigation Condensed'!G21,3),"0.000") &amp; " (" &amp; TEXT(ROUND('Mitigation Condensed'!H21,3),"0.000") &amp; ")"</f>
        <v>0.082 (0.000)</v>
      </c>
      <c r="F20" t="str">
        <f>TEXT(ROUND('Mitigation Condensed'!I21,3),"0.000") &amp; " (" &amp; TEXT(ROUND('Mitigation Condensed'!J21,3),"0.000") &amp; ")"</f>
        <v>0.046 (0.002)</v>
      </c>
      <c r="G20" t="str">
        <f>TEXT(ROUND('Mitigation Condensed'!K21,3),"0.000") &amp; " (" &amp; TEXT(ROUND('Mitigation Condensed'!L21,3),"0.000") &amp; ")"</f>
        <v>0.074 (0.000)</v>
      </c>
      <c r="H20" s="2">
        <f>Unmitigated!C21</f>
        <v>0.165228648815406</v>
      </c>
      <c r="I20" s="2">
        <f>Unmitigated!D21</f>
        <v>0.16030496590530799</v>
      </c>
      <c r="L20" s="1">
        <v>0.75</v>
      </c>
      <c r="M20" t="s">
        <v>68</v>
      </c>
      <c r="N20" t="s">
        <v>122</v>
      </c>
      <c r="O20" t="s">
        <v>123</v>
      </c>
      <c r="P20" t="s">
        <v>84</v>
      </c>
      <c r="Q20" t="s">
        <v>124</v>
      </c>
      <c r="R20" t="s">
        <v>125</v>
      </c>
      <c r="S20" s="2">
        <v>0.156747081714217</v>
      </c>
      <c r="T20" s="2">
        <v>0.14799268257013901</v>
      </c>
    </row>
    <row r="21" spans="1:20" x14ac:dyDescent="0.25">
      <c r="A21" s="1">
        <v>0.5</v>
      </c>
      <c r="B21" t="s">
        <v>62</v>
      </c>
      <c r="C21" t="str">
        <f>TEXT(ROUND('Mitigation Condensed'!C22,3),"0.000") &amp; " (" &amp; TEXT(ROUND('Mitigation Condensed'!D22,3),"0.000") &amp; ")"</f>
        <v>0.080 (0.000)</v>
      </c>
      <c r="D21" t="str">
        <f>TEXT(ROUND('Mitigation Condensed'!E22,3),"0.000") &amp; " (" &amp; TEXT(ROUND('Mitigation Condensed'!F22,3),"0.000") &amp; ")"</f>
        <v>0.107 (0.000)</v>
      </c>
      <c r="E21" t="str">
        <f>TEXT(ROUND('Mitigation Condensed'!G22,3),"0.000") &amp; " (" &amp; TEXT(ROUND('Mitigation Condensed'!H22,3),"0.000") &amp; ")"</f>
        <v>0.022 (0.000)</v>
      </c>
      <c r="F21" t="str">
        <f>TEXT(ROUND('Mitigation Condensed'!I22,3),"0.000") &amp; " (" &amp; TEXT(ROUND('Mitigation Condensed'!J22,3),"0.000") &amp; ")"</f>
        <v>0.022 (0.000)</v>
      </c>
      <c r="G21" t="str">
        <f>TEXT(ROUND('Mitigation Condensed'!K22,3),"0.000") &amp; " (" &amp; TEXT(ROUND('Mitigation Condensed'!L22,3),"0.000") &amp; ")"</f>
        <v>0.039 (0.000)</v>
      </c>
      <c r="H21" s="2">
        <f>Unmitigated!C22</f>
        <v>0.16596302351145101</v>
      </c>
      <c r="I21" s="2">
        <f>Unmitigated!D22</f>
        <v>0.147063899596478</v>
      </c>
      <c r="L21" s="1">
        <v>1</v>
      </c>
      <c r="M21" t="s">
        <v>68</v>
      </c>
      <c r="N21" t="s">
        <v>126</v>
      </c>
      <c r="O21" t="s">
        <v>83</v>
      </c>
      <c r="P21" t="s">
        <v>84</v>
      </c>
      <c r="Q21" t="s">
        <v>107</v>
      </c>
      <c r="R21" t="s">
        <v>127</v>
      </c>
      <c r="S21" s="2">
        <v>0.156747081714217</v>
      </c>
      <c r="T21" s="2">
        <v>0.14799268257013901</v>
      </c>
    </row>
    <row r="22" spans="1:20" x14ac:dyDescent="0.25">
      <c r="A22" s="1">
        <v>0.5</v>
      </c>
      <c r="B22" t="s">
        <v>63</v>
      </c>
      <c r="C22" t="str">
        <f>TEXT(ROUND('Mitigation Condensed'!C23,3),"0.000") &amp; " (" &amp; TEXT(ROUND('Mitigation Condensed'!D23,3),"0.000") &amp; ")"</f>
        <v>0.113 (0.000)</v>
      </c>
      <c r="D22" t="str">
        <f>TEXT(ROUND('Mitigation Condensed'!E23,3),"0.000") &amp; " (" &amp; TEXT(ROUND('Mitigation Condensed'!F23,3),"0.000") &amp; ")"</f>
        <v>0.126 (0.000)</v>
      </c>
      <c r="E22" t="str">
        <f>TEXT(ROUND('Mitigation Condensed'!G23,3),"0.000") &amp; " (" &amp; TEXT(ROUND('Mitigation Condensed'!H23,3),"0.000") &amp; ")"</f>
        <v>0.017 (0.000)</v>
      </c>
      <c r="F22" t="str">
        <f>TEXT(ROUND('Mitigation Condensed'!I23,3),"0.000") &amp; " (" &amp; TEXT(ROUND('Mitigation Condensed'!J23,3),"0.000") &amp; ")"</f>
        <v>0.043 (0.000)</v>
      </c>
      <c r="G22" t="str">
        <f>TEXT(ROUND('Mitigation Condensed'!K23,3),"0.000") &amp; " (" &amp; TEXT(ROUND('Mitigation Condensed'!L23,3),"0.000") &amp; ")"</f>
        <v>0.121 (0.000)</v>
      </c>
      <c r="H22" s="2">
        <f>Unmitigated!C23</f>
        <v>0.198645968998965</v>
      </c>
      <c r="I22" s="2">
        <f>Unmitigated!D23</f>
        <v>0.210783900501086</v>
      </c>
      <c r="K22" s="1"/>
      <c r="L22" s="13">
        <v>0</v>
      </c>
      <c r="M22" s="12" t="s">
        <v>69</v>
      </c>
      <c r="N22" s="12" t="s">
        <v>93</v>
      </c>
      <c r="O22" s="12" t="s">
        <v>95</v>
      </c>
      <c r="P22" s="12" t="s">
        <v>84</v>
      </c>
      <c r="Q22" s="12" t="s">
        <v>128</v>
      </c>
      <c r="R22" s="12" t="s">
        <v>129</v>
      </c>
      <c r="S22" s="2">
        <v>0.168519407311474</v>
      </c>
      <c r="T22" s="2">
        <v>0.16782986380780399</v>
      </c>
    </row>
    <row r="23" spans="1:20" x14ac:dyDescent="0.25">
      <c r="A23" s="1">
        <v>0.5</v>
      </c>
      <c r="B23" t="s">
        <v>68</v>
      </c>
      <c r="C23" t="str">
        <f>TEXT(ROUND('Mitigation Condensed'!C24,3),"0.000") &amp; " (" &amp; TEXT(ROUND('Mitigation Condensed'!D24,3),"0.000") &amp; ")"</f>
        <v>0.086 (0.000)</v>
      </c>
      <c r="D23" t="str">
        <f>TEXT(ROUND('Mitigation Condensed'!E24,3),"0.000") &amp; " (" &amp; TEXT(ROUND('Mitigation Condensed'!F24,3),"0.000") &amp; ")"</f>
        <v>0.108 (0.000)</v>
      </c>
      <c r="E23" t="str">
        <f>TEXT(ROUND('Mitigation Condensed'!G24,3),"0.000") &amp; " (" &amp; TEXT(ROUND('Mitigation Condensed'!H24,3),"0.000") &amp; ")"</f>
        <v>0.021 (0.000)</v>
      </c>
      <c r="F23" t="str">
        <f>TEXT(ROUND('Mitigation Condensed'!I24,3),"0.000") &amp; " (" &amp; TEXT(ROUND('Mitigation Condensed'!J24,3),"0.000") &amp; ")"</f>
        <v>0.029 (0.006)</v>
      </c>
      <c r="G23" t="str">
        <f>TEXT(ROUND('Mitigation Condensed'!K24,3),"0.000") &amp; " (" &amp; TEXT(ROUND('Mitigation Condensed'!L24,3),"0.000") &amp; ")"</f>
        <v>0.066 (0.000)</v>
      </c>
      <c r="H23" s="2">
        <f>Unmitigated!C24</f>
        <v>0.156747081714217</v>
      </c>
      <c r="I23" s="2">
        <f>Unmitigated!D24</f>
        <v>0.14799268257013901</v>
      </c>
      <c r="K23" s="1"/>
      <c r="L23" s="13">
        <v>0.25</v>
      </c>
      <c r="M23" s="12" t="s">
        <v>69</v>
      </c>
      <c r="N23" s="12" t="s">
        <v>130</v>
      </c>
      <c r="O23" s="12" t="s">
        <v>131</v>
      </c>
      <c r="P23" s="12" t="s">
        <v>132</v>
      </c>
      <c r="Q23" s="12" t="s">
        <v>133</v>
      </c>
      <c r="R23" s="12" t="s">
        <v>134</v>
      </c>
      <c r="S23" s="2">
        <v>0.168519407311474</v>
      </c>
      <c r="T23" s="2">
        <v>0.16782986380780399</v>
      </c>
    </row>
    <row r="24" spans="1:20" x14ac:dyDescent="0.25">
      <c r="A24" s="1">
        <v>0.5</v>
      </c>
      <c r="B24" t="s">
        <v>69</v>
      </c>
      <c r="C24" t="str">
        <f>TEXT(ROUND('Mitigation Condensed'!C25,3),"0.000") &amp; " (" &amp; TEXT(ROUND('Mitigation Condensed'!D25,3),"0.000") &amp; ")"</f>
        <v>0.082 (0.000)</v>
      </c>
      <c r="D24" t="str">
        <f>TEXT(ROUND('Mitigation Condensed'!E25,3),"0.000") &amp; " (" &amp; TEXT(ROUND('Mitigation Condensed'!F25,3),"0.000") &amp; ")"</f>
        <v>0.110 (0.000)</v>
      </c>
      <c r="E24" t="str">
        <f>TEXT(ROUND('Mitigation Condensed'!G25,3),"0.000") &amp; " (" &amp; TEXT(ROUND('Mitigation Condensed'!H25,3),"0.000") &amp; ")"</f>
        <v>0.022 (0.000)</v>
      </c>
      <c r="F24" t="str">
        <f>TEXT(ROUND('Mitigation Condensed'!I25,3),"0.000") &amp; " (" &amp; TEXT(ROUND('Mitigation Condensed'!J25,3),"0.000") &amp; ")"</f>
        <v>0.023 (0.001)</v>
      </c>
      <c r="G24" t="str">
        <f>TEXT(ROUND('Mitigation Condensed'!K25,3),"0.000") &amp; " (" &amp; TEXT(ROUND('Mitigation Condensed'!L25,3),"0.000") &amp; ")"</f>
        <v>0.070 (0.000)</v>
      </c>
      <c r="H24" s="2">
        <f>Unmitigated!C25</f>
        <v>0.168519407311474</v>
      </c>
      <c r="I24" s="2">
        <f>Unmitigated!D25</f>
        <v>0.16782986380780399</v>
      </c>
      <c r="K24" s="1"/>
      <c r="L24" s="13">
        <v>0.5</v>
      </c>
      <c r="M24" s="12" t="s">
        <v>69</v>
      </c>
      <c r="N24" s="12" t="s">
        <v>130</v>
      </c>
      <c r="O24" s="12" t="s">
        <v>88</v>
      </c>
      <c r="P24" s="12" t="s">
        <v>80</v>
      </c>
      <c r="Q24" s="12" t="s">
        <v>135</v>
      </c>
      <c r="R24" s="12" t="s">
        <v>136</v>
      </c>
      <c r="S24" s="2">
        <v>0.168519407311474</v>
      </c>
      <c r="T24" s="2">
        <v>0.16782986380780399</v>
      </c>
    </row>
    <row r="25" spans="1:20" x14ac:dyDescent="0.25">
      <c r="A25" s="1">
        <v>0.5</v>
      </c>
      <c r="B25" t="s">
        <v>70</v>
      </c>
      <c r="C25" t="str">
        <f>TEXT(ROUND('Mitigation Condensed'!C26,3),"0.000") &amp; " (" &amp; TEXT(ROUND('Mitigation Condensed'!D26,3),"0.000") &amp; ")"</f>
        <v>0.099 (0.000)</v>
      </c>
      <c r="D25" t="str">
        <f>TEXT(ROUND('Mitigation Condensed'!E26,3),"0.000") &amp; " (" &amp; TEXT(ROUND('Mitigation Condensed'!F26,3),"0.000") &amp; ")"</f>
        <v>0.116 (0.000)</v>
      </c>
      <c r="E25" t="str">
        <f>TEXT(ROUND('Mitigation Condensed'!G26,3),"0.000") &amp; " (" &amp; TEXT(ROUND('Mitigation Condensed'!H26,3),"0.000") &amp; ")"</f>
        <v>0.022 (0.000)</v>
      </c>
      <c r="F25" t="str">
        <f>TEXT(ROUND('Mitigation Condensed'!I26,3),"0.000") &amp; " (" &amp; TEXT(ROUND('Mitigation Condensed'!J26,3),"0.000") &amp; ")"</f>
        <v>0.034 (0.001)</v>
      </c>
      <c r="G25" t="str">
        <f>TEXT(ROUND('Mitigation Condensed'!K26,3),"0.000") &amp; " (" &amp; TEXT(ROUND('Mitigation Condensed'!L26,3),"0.000") &amp; ")"</f>
        <v>0.068 (0.019)</v>
      </c>
      <c r="H25" s="2">
        <f>Unmitigated!C26</f>
        <v>0.18708791264740801</v>
      </c>
      <c r="I25" s="2">
        <f>Unmitigated!D26</f>
        <v>0.16204223060428399</v>
      </c>
      <c r="K25" s="1"/>
      <c r="L25" s="13">
        <v>0.75</v>
      </c>
      <c r="M25" s="12" t="s">
        <v>69</v>
      </c>
      <c r="N25" s="12" t="s">
        <v>87</v>
      </c>
      <c r="O25" s="12" t="s">
        <v>131</v>
      </c>
      <c r="P25" s="12" t="s">
        <v>84</v>
      </c>
      <c r="Q25" s="12" t="s">
        <v>137</v>
      </c>
      <c r="R25" s="12" t="s">
        <v>138</v>
      </c>
      <c r="S25" s="2">
        <v>0.168519407311474</v>
      </c>
      <c r="T25" s="2">
        <v>0.16782986380780399</v>
      </c>
    </row>
    <row r="26" spans="1:20" x14ac:dyDescent="0.25">
      <c r="A26" s="1">
        <v>0.5</v>
      </c>
      <c r="B26" t="s">
        <v>71</v>
      </c>
      <c r="C26" t="str">
        <f>TEXT(ROUND('Mitigation Condensed'!C27,3),"0.000") &amp; " (" &amp; TEXT(ROUND('Mitigation Condensed'!D27,3),"0.000") &amp; ")"</f>
        <v>0.104 (0.000)</v>
      </c>
      <c r="D26" t="str">
        <f>TEXT(ROUND('Mitigation Condensed'!E27,3),"0.000") &amp; " (" &amp; TEXT(ROUND('Mitigation Condensed'!F27,3),"0.000") &amp; ")"</f>
        <v>0.120 (0.000)</v>
      </c>
      <c r="E26" t="str">
        <f>TEXT(ROUND('Mitigation Condensed'!G27,3),"0.000") &amp; " (" &amp; TEXT(ROUND('Mitigation Condensed'!H27,3),"0.000") &amp; ")"</f>
        <v>0.021 (0.000)</v>
      </c>
      <c r="F26" t="str">
        <f>TEXT(ROUND('Mitigation Condensed'!I27,3),"0.000") &amp; " (" &amp; TEXT(ROUND('Mitigation Condensed'!J27,3),"0.000") &amp; ")"</f>
        <v>0.031 (0.008)</v>
      </c>
      <c r="G26" t="str">
        <f>TEXT(ROUND('Mitigation Condensed'!K27,3),"0.000") &amp; " (" &amp; TEXT(ROUND('Mitigation Condensed'!L27,3),"0.000") &amp; ")"</f>
        <v>0.091 (0.000)</v>
      </c>
      <c r="H26" s="2">
        <f>Unmitigated!C27</f>
        <v>0.18556205160891101</v>
      </c>
      <c r="I26" s="2">
        <f>Unmitigated!D27</f>
        <v>0.17374840620408999</v>
      </c>
      <c r="K26" s="1"/>
      <c r="L26" s="13">
        <v>1</v>
      </c>
      <c r="M26" s="12" t="s">
        <v>69</v>
      </c>
      <c r="N26" s="12" t="s">
        <v>139</v>
      </c>
      <c r="O26" s="12" t="s">
        <v>140</v>
      </c>
      <c r="P26" s="12" t="s">
        <v>84</v>
      </c>
      <c r="Q26" s="12" t="s">
        <v>87</v>
      </c>
      <c r="R26" s="12" t="s">
        <v>141</v>
      </c>
      <c r="S26" s="2">
        <v>0.168519407311474</v>
      </c>
      <c r="T26" s="2">
        <v>0.16782986380780399</v>
      </c>
    </row>
    <row r="27" spans="1:20" x14ac:dyDescent="0.25">
      <c r="A27" s="1">
        <v>0.5</v>
      </c>
      <c r="B27" t="s">
        <v>72</v>
      </c>
      <c r="C27" t="str">
        <f>TEXT(ROUND('Mitigation Condensed'!C28,3),"0.000") &amp; " (" &amp; TEXT(ROUND('Mitigation Condensed'!D28,3),"0.000") &amp; ")"</f>
        <v>0.105 (0.000)</v>
      </c>
      <c r="D27" t="str">
        <f>TEXT(ROUND('Mitigation Condensed'!E28,3),"0.000") &amp; " (" &amp; TEXT(ROUND('Mitigation Condensed'!F28,3),"0.000") &amp; ")"</f>
        <v>0.126 (0.000)</v>
      </c>
      <c r="E27" t="str">
        <f>TEXT(ROUND('Mitigation Condensed'!G28,3),"0.000") &amp; " (" &amp; TEXT(ROUND('Mitigation Condensed'!H28,3),"0.000") &amp; ")"</f>
        <v>0.021 (0.000)</v>
      </c>
      <c r="F27" t="str">
        <f>TEXT(ROUND('Mitigation Condensed'!I28,3),"0.000") &amp; " (" &amp; TEXT(ROUND('Mitigation Condensed'!J28,3),"0.000") &amp; ")"</f>
        <v>0.037 (0.001)</v>
      </c>
      <c r="G27" t="str">
        <f>TEXT(ROUND('Mitigation Condensed'!K28,3),"0.000") &amp; " (" &amp; TEXT(ROUND('Mitigation Condensed'!L28,3),"0.000") &amp; ")"</f>
        <v>0.104 (0.000)</v>
      </c>
      <c r="H27" s="2">
        <f>Unmitigated!C28</f>
        <v>0.18961654033707001</v>
      </c>
      <c r="I27" s="2">
        <f>Unmitigated!D28</f>
        <v>0.18853550688402901</v>
      </c>
      <c r="K27" s="1"/>
      <c r="L27" s="13">
        <v>0</v>
      </c>
      <c r="M27" s="12" t="s">
        <v>70</v>
      </c>
      <c r="N27" s="12" t="s">
        <v>142</v>
      </c>
      <c r="O27" s="12" t="s">
        <v>143</v>
      </c>
      <c r="P27" s="12" t="s">
        <v>144</v>
      </c>
      <c r="Q27" s="12" t="s">
        <v>117</v>
      </c>
      <c r="R27" s="12" t="s">
        <v>145</v>
      </c>
      <c r="S27" s="2">
        <v>0.18708791264740801</v>
      </c>
      <c r="T27" s="2">
        <v>0.16204223060428399</v>
      </c>
    </row>
    <row r="28" spans="1:20" x14ac:dyDescent="0.25">
      <c r="A28" s="1">
        <v>0.5</v>
      </c>
      <c r="B28" t="s">
        <v>73</v>
      </c>
      <c r="C28" t="str">
        <f>TEXT(ROUND('Mitigation Condensed'!C29,3),"0.000") &amp; " (" &amp; TEXT(ROUND('Mitigation Condensed'!D29,3),"0.000") &amp; ")"</f>
        <v>0.104 (0.000)</v>
      </c>
      <c r="D28" t="str">
        <f>TEXT(ROUND('Mitigation Condensed'!E29,3),"0.000") &amp; " (" &amp; TEXT(ROUND('Mitigation Condensed'!F29,3),"0.000") &amp; ")"</f>
        <v>0.123 (0.000)</v>
      </c>
      <c r="E28" t="str">
        <f>TEXT(ROUND('Mitigation Condensed'!G29,3),"0.000") &amp; " (" &amp; TEXT(ROUND('Mitigation Condensed'!H29,3),"0.000") &amp; ")"</f>
        <v>0.022 (0.000)</v>
      </c>
      <c r="F28" t="str">
        <f>TEXT(ROUND('Mitigation Condensed'!I29,3),"0.000") &amp; " (" &amp; TEXT(ROUND('Mitigation Condensed'!J29,3),"0.000") &amp; ")"</f>
        <v>0.039 (0.000)</v>
      </c>
      <c r="G28" t="str">
        <f>TEXT(ROUND('Mitigation Condensed'!K29,3),"0.000") &amp; " (" &amp; TEXT(ROUND('Mitigation Condensed'!L29,3),"0.000") &amp; ")"</f>
        <v>0.092 (0.000)</v>
      </c>
      <c r="H28" s="2">
        <f>Unmitigated!C29</f>
        <v>0.179362777161995</v>
      </c>
      <c r="I28" s="2">
        <f>Unmitigated!D29</f>
        <v>0.17621821829168299</v>
      </c>
      <c r="K28" s="1"/>
      <c r="L28" s="13">
        <v>0.25</v>
      </c>
      <c r="M28" s="12" t="s">
        <v>70</v>
      </c>
      <c r="N28" s="12" t="s">
        <v>146</v>
      </c>
      <c r="O28" s="12" t="s">
        <v>104</v>
      </c>
      <c r="P28" s="12" t="s">
        <v>118</v>
      </c>
      <c r="Q28" s="12" t="s">
        <v>147</v>
      </c>
      <c r="R28" s="12" t="s">
        <v>93</v>
      </c>
      <c r="S28" s="2">
        <v>0.18708791264740801</v>
      </c>
      <c r="T28" s="2">
        <v>0.16204223060428399</v>
      </c>
    </row>
    <row r="29" spans="1:20" x14ac:dyDescent="0.25">
      <c r="A29" s="1">
        <v>0.5</v>
      </c>
      <c r="B29" t="s">
        <v>74</v>
      </c>
      <c r="C29" t="str">
        <f>TEXT(ROUND('Mitigation Condensed'!C30,3),"0.000") &amp; " (" &amp; TEXT(ROUND('Mitigation Condensed'!D30,3),"0.000") &amp; ")"</f>
        <v>0.065 (0.000)</v>
      </c>
      <c r="D29" t="str">
        <f>TEXT(ROUND('Mitigation Condensed'!E30,3),"0.000") &amp; " (" &amp; TEXT(ROUND('Mitigation Condensed'!F30,3),"0.000") &amp; ")"</f>
        <v>0.066 (0.000)</v>
      </c>
      <c r="E29" t="str">
        <f>TEXT(ROUND('Mitigation Condensed'!G30,3),"0.000") &amp; " (" &amp; TEXT(ROUND('Mitigation Condensed'!H30,3),"0.000") &amp; ")"</f>
        <v>0.022 (0.000)</v>
      </c>
      <c r="F29" t="str">
        <f>TEXT(ROUND('Mitigation Condensed'!I30,3),"0.000") &amp; " (" &amp; TEXT(ROUND('Mitigation Condensed'!J30,3),"0.000") &amp; ")"</f>
        <v>0.028 (0.000)</v>
      </c>
      <c r="G29" t="str">
        <f>TEXT(ROUND('Mitigation Condensed'!K30,3),"0.000") &amp; " (" &amp; TEXT(ROUND('Mitigation Condensed'!L30,3),"0.000") &amp; ")"</f>
        <v>0.052 (0.009)</v>
      </c>
      <c r="H29" s="2">
        <f>Unmitigated!C30</f>
        <v>0.165228648815406</v>
      </c>
      <c r="I29" s="2">
        <f>Unmitigated!D30</f>
        <v>0.16030496590530799</v>
      </c>
      <c r="K29" s="1"/>
      <c r="L29" s="13">
        <v>0.5</v>
      </c>
      <c r="M29" s="12" t="s">
        <v>70</v>
      </c>
      <c r="N29" s="12" t="s">
        <v>139</v>
      </c>
      <c r="O29" s="12" t="s">
        <v>148</v>
      </c>
      <c r="P29" s="12" t="s">
        <v>80</v>
      </c>
      <c r="Q29" s="12" t="s">
        <v>149</v>
      </c>
      <c r="R29" s="12" t="s">
        <v>150</v>
      </c>
      <c r="S29" s="2">
        <v>0.18708791264740801</v>
      </c>
      <c r="T29" s="2">
        <v>0.16204223060428399</v>
      </c>
    </row>
    <row r="30" spans="1:20" x14ac:dyDescent="0.25">
      <c r="A30" s="1">
        <v>0.75</v>
      </c>
      <c r="B30" t="s">
        <v>62</v>
      </c>
      <c r="C30" t="str">
        <f>TEXT(ROUND('Mitigation Condensed'!C31,3),"0.000") &amp; " (" &amp; TEXT(ROUND('Mitigation Condensed'!D31,3),"0.000") &amp; ")"</f>
        <v>0.083 (0.000)</v>
      </c>
      <c r="D30" t="str">
        <f>TEXT(ROUND('Mitigation Condensed'!E31,3),"0.000") &amp; " (" &amp; TEXT(ROUND('Mitigation Condensed'!F31,3),"0.000") &amp; ")"</f>
        <v>0.104 (0.000)</v>
      </c>
      <c r="E30" t="str">
        <f>TEXT(ROUND('Mitigation Condensed'!G31,3),"0.000") &amp; " (" &amp; TEXT(ROUND('Mitigation Condensed'!H31,3),"0.000") &amp; ")"</f>
        <v>0.000 (1.000)</v>
      </c>
      <c r="F30" t="str">
        <f>TEXT(ROUND('Mitigation Condensed'!I31,3),"0.000") &amp; " (" &amp; TEXT(ROUND('Mitigation Condensed'!J31,3),"0.000") &amp; ")"</f>
        <v>0.060 (0.000)</v>
      </c>
      <c r="G30" t="str">
        <f>TEXT(ROUND('Mitigation Condensed'!K31,3),"0.000") &amp; " (" &amp; TEXT(ROUND('Mitigation Condensed'!L31,3),"0.000") &amp; ")"</f>
        <v>0.041 (0.000)</v>
      </c>
      <c r="H30" s="2">
        <f>Unmitigated!C31</f>
        <v>0.16596302351145101</v>
      </c>
      <c r="I30" s="2">
        <f>Unmitigated!D31</f>
        <v>0.147063899596478</v>
      </c>
      <c r="K30" s="1"/>
      <c r="L30" s="13">
        <v>0.75</v>
      </c>
      <c r="M30" s="12" t="s">
        <v>70</v>
      </c>
      <c r="N30" s="12" t="s">
        <v>118</v>
      </c>
      <c r="O30" s="12" t="s">
        <v>151</v>
      </c>
      <c r="P30" s="12" t="s">
        <v>152</v>
      </c>
      <c r="Q30" s="12" t="s">
        <v>127</v>
      </c>
      <c r="R30" s="12" t="s">
        <v>153</v>
      </c>
      <c r="S30" s="2">
        <v>0.18708791264740801</v>
      </c>
      <c r="T30" s="2">
        <v>0.16204223060428399</v>
      </c>
    </row>
    <row r="31" spans="1:20" x14ac:dyDescent="0.25">
      <c r="A31" s="1">
        <v>0.75</v>
      </c>
      <c r="B31" t="s">
        <v>63</v>
      </c>
      <c r="C31" t="str">
        <f>TEXT(ROUND('Mitigation Condensed'!C32,3),"0.000") &amp; " (" &amp; TEXT(ROUND('Mitigation Condensed'!D32,3),"0.000") &amp; ")"</f>
        <v>0.122 (0.000)</v>
      </c>
      <c r="D31" t="str">
        <f>TEXT(ROUND('Mitigation Condensed'!E32,3),"0.000") &amp; " (" &amp; TEXT(ROUND('Mitigation Condensed'!F32,3),"0.000") &amp; ")"</f>
        <v>0.132 (0.000)</v>
      </c>
      <c r="E31" t="str">
        <f>TEXT(ROUND('Mitigation Condensed'!G32,3),"0.000") &amp; " (" &amp; TEXT(ROUND('Mitigation Condensed'!H32,3),"0.000") &amp; ")"</f>
        <v>0.161 (0.000)</v>
      </c>
      <c r="F31" t="str">
        <f>TEXT(ROUND('Mitigation Condensed'!I32,3),"0.000") &amp; " (" &amp; TEXT(ROUND('Mitigation Condensed'!J32,3),"0.000") &amp; ")"</f>
        <v>0.087 (0.000)</v>
      </c>
      <c r="G31" t="str">
        <f>TEXT(ROUND('Mitigation Condensed'!K32,3),"0.000") &amp; " (" &amp; TEXT(ROUND('Mitigation Condensed'!L32,3),"0.000") &amp; ")"</f>
        <v>0.120 (0.000)</v>
      </c>
      <c r="H31" s="2">
        <f>Unmitigated!C32</f>
        <v>0.198645968998965</v>
      </c>
      <c r="I31" s="2">
        <f>Unmitigated!D32</f>
        <v>0.210783900501086</v>
      </c>
      <c r="K31" s="1"/>
      <c r="L31" s="13">
        <v>1</v>
      </c>
      <c r="M31" s="12" t="s">
        <v>70</v>
      </c>
      <c r="N31" s="12" t="s">
        <v>132</v>
      </c>
      <c r="O31" s="12" t="s">
        <v>154</v>
      </c>
      <c r="P31" s="12" t="s">
        <v>155</v>
      </c>
      <c r="Q31" s="12" t="s">
        <v>139</v>
      </c>
      <c r="R31" s="12" t="s">
        <v>156</v>
      </c>
      <c r="S31" s="2">
        <v>0.18708791264740801</v>
      </c>
      <c r="T31" s="2">
        <v>0.16204223060428399</v>
      </c>
    </row>
    <row r="32" spans="1:20" x14ac:dyDescent="0.25">
      <c r="A32" s="1">
        <v>0.75</v>
      </c>
      <c r="B32" t="s">
        <v>68</v>
      </c>
      <c r="C32" t="str">
        <f>TEXT(ROUND('Mitigation Condensed'!C33,3),"0.000") &amp; " (" &amp; TEXT(ROUND('Mitigation Condensed'!D33,3),"0.000") &amp; ")"</f>
        <v>0.091 (0.000)</v>
      </c>
      <c r="D32" t="str">
        <f>TEXT(ROUND('Mitigation Condensed'!E33,3),"0.000") &amp; " (" &amp; TEXT(ROUND('Mitigation Condensed'!F33,3),"0.000") &amp; ")"</f>
        <v>0.105 (0.000)</v>
      </c>
      <c r="E32" t="str">
        <f>TEXT(ROUND('Mitigation Condensed'!G33,3),"0.000") &amp; " (" &amp; TEXT(ROUND('Mitigation Condensed'!H33,3),"0.000") &amp; ")"</f>
        <v>0.000 (1.000)</v>
      </c>
      <c r="F32" t="str">
        <f>TEXT(ROUND('Mitigation Condensed'!I33,3),"0.000") &amp; " (" &amp; TEXT(ROUND('Mitigation Condensed'!J33,3),"0.000") &amp; ")"</f>
        <v>0.069 (0.000)</v>
      </c>
      <c r="G32" t="str">
        <f>TEXT(ROUND('Mitigation Condensed'!K33,3),"0.000") &amp; " (" &amp; TEXT(ROUND('Mitigation Condensed'!L33,3),"0.000") &amp; ")"</f>
        <v>0.063 (0.000)</v>
      </c>
      <c r="H32" s="2">
        <f>Unmitigated!C33</f>
        <v>0.156747081714217</v>
      </c>
      <c r="I32" s="2">
        <f>Unmitigated!D33</f>
        <v>0.14799268257013901</v>
      </c>
      <c r="K32" s="1"/>
      <c r="L32" s="13">
        <v>0</v>
      </c>
      <c r="M32" s="12" t="s">
        <v>72</v>
      </c>
      <c r="N32" s="12" t="s">
        <v>123</v>
      </c>
      <c r="O32" s="12" t="s">
        <v>170</v>
      </c>
      <c r="P32" s="12" t="s">
        <v>84</v>
      </c>
      <c r="Q32" s="12" t="s">
        <v>157</v>
      </c>
      <c r="R32" s="12" t="s">
        <v>159</v>
      </c>
      <c r="S32" s="2">
        <v>0.18961654033707001</v>
      </c>
      <c r="T32" s="2">
        <v>0.18853550688402901</v>
      </c>
    </row>
    <row r="33" spans="1:20" x14ac:dyDescent="0.25">
      <c r="A33" s="1">
        <v>0.75</v>
      </c>
      <c r="B33" t="s">
        <v>69</v>
      </c>
      <c r="C33" t="str">
        <f>TEXT(ROUND('Mitigation Condensed'!C34,3),"0.000") &amp; " (" &amp; TEXT(ROUND('Mitigation Condensed'!D34,3),"0.000") &amp; ")"</f>
        <v>0.090 (0.000)</v>
      </c>
      <c r="D33" t="str">
        <f>TEXT(ROUND('Mitigation Condensed'!E34,3),"0.000") &amp; " (" &amp; TEXT(ROUND('Mitigation Condensed'!F34,3),"0.000") &amp; ")"</f>
        <v>0.111 (0.000)</v>
      </c>
      <c r="E33" t="str">
        <f>TEXT(ROUND('Mitigation Condensed'!G34,3),"0.000") &amp; " (" &amp; TEXT(ROUND('Mitigation Condensed'!H34,3),"0.000") &amp; ")"</f>
        <v>0.000 (1.000)</v>
      </c>
      <c r="F33" t="str">
        <f>TEXT(ROUND('Mitigation Condensed'!I34,3),"0.000") &amp; " (" &amp; TEXT(ROUND('Mitigation Condensed'!J34,3),"0.000") &amp; ")"</f>
        <v>0.062 (0.000)</v>
      </c>
      <c r="G33" t="str">
        <f>TEXT(ROUND('Mitigation Condensed'!K34,3),"0.000") &amp; " (" &amp; TEXT(ROUND('Mitigation Condensed'!L34,3),"0.000") &amp; ")"</f>
        <v>0.081 (0.000)</v>
      </c>
      <c r="H33" s="2">
        <f>Unmitigated!C34</f>
        <v>0.168519407311474</v>
      </c>
      <c r="I33" s="2">
        <f>Unmitigated!D34</f>
        <v>0.16782986380780399</v>
      </c>
      <c r="K33" s="1"/>
      <c r="L33" s="13">
        <v>0.25</v>
      </c>
      <c r="M33" s="12" t="s">
        <v>72</v>
      </c>
      <c r="N33" s="12" t="s">
        <v>142</v>
      </c>
      <c r="O33" s="12" t="s">
        <v>108</v>
      </c>
      <c r="P33" s="12" t="s">
        <v>140</v>
      </c>
      <c r="Q33" s="12" t="s">
        <v>158</v>
      </c>
      <c r="R33" s="12" t="s">
        <v>118</v>
      </c>
      <c r="S33" s="2">
        <v>0.18961654033707001</v>
      </c>
      <c r="T33" s="2">
        <v>0.18853550688402901</v>
      </c>
    </row>
    <row r="34" spans="1:20" x14ac:dyDescent="0.25">
      <c r="A34" s="1">
        <v>0.75</v>
      </c>
      <c r="B34" t="s">
        <v>70</v>
      </c>
      <c r="C34" t="str">
        <f>TEXT(ROUND('Mitigation Condensed'!C35,3),"0.000") &amp; " (" &amp; TEXT(ROUND('Mitigation Condensed'!D35,3),"0.000") &amp; ")"</f>
        <v>0.108 (0.000)</v>
      </c>
      <c r="D34" t="str">
        <f>TEXT(ROUND('Mitigation Condensed'!E35,3),"0.000") &amp; " (" &amp; TEXT(ROUND('Mitigation Condensed'!F35,3),"0.000") &amp; ")"</f>
        <v>0.125 (0.000)</v>
      </c>
      <c r="E34" t="str">
        <f>TEXT(ROUND('Mitigation Condensed'!G35,3),"0.000") &amp; " (" &amp; TEXT(ROUND('Mitigation Condensed'!H35,3),"0.000") &amp; ")"</f>
        <v>0.080 (0.814)</v>
      </c>
      <c r="F34" t="str">
        <f>TEXT(ROUND('Mitigation Condensed'!I35,3),"0.000") &amp; " (" &amp; TEXT(ROUND('Mitigation Condensed'!J35,3),"0.000") &amp; ")"</f>
        <v>0.076 (0.000)</v>
      </c>
      <c r="G34" t="str">
        <f>TEXT(ROUND('Mitigation Condensed'!K35,3),"0.000") &amp; " (" &amp; TEXT(ROUND('Mitigation Condensed'!L35,3),"0.000") &amp; ")"</f>
        <v>0.066 (0.019)</v>
      </c>
      <c r="H34" s="2">
        <f>Unmitigated!C35</f>
        <v>0.18708791264740801</v>
      </c>
      <c r="I34" s="2">
        <f>Unmitigated!D35</f>
        <v>0.16204223060428399</v>
      </c>
      <c r="K34" s="1"/>
      <c r="L34" s="13">
        <v>0.5</v>
      </c>
      <c r="M34" s="12" t="s">
        <v>72</v>
      </c>
      <c r="N34" s="12" t="s">
        <v>123</v>
      </c>
      <c r="O34" s="12" t="s">
        <v>100</v>
      </c>
      <c r="P34" s="12" t="s">
        <v>119</v>
      </c>
      <c r="Q34" s="12" t="s">
        <v>162</v>
      </c>
      <c r="R34" s="12" t="s">
        <v>83</v>
      </c>
      <c r="S34" s="2">
        <v>0.18961654033707001</v>
      </c>
      <c r="T34" s="2">
        <v>0.18853550688402901</v>
      </c>
    </row>
    <row r="35" spans="1:20" x14ac:dyDescent="0.25">
      <c r="A35" s="1">
        <v>0.75</v>
      </c>
      <c r="B35" t="s">
        <v>71</v>
      </c>
      <c r="C35" t="str">
        <f>TEXT(ROUND('Mitigation Condensed'!C36,3),"0.000") &amp; " (" &amp; TEXT(ROUND('Mitigation Condensed'!D36,3),"0.000") &amp; ")"</f>
        <v>0.111 (0.000)</v>
      </c>
      <c r="D35" t="str">
        <f>TEXT(ROUND('Mitigation Condensed'!E36,3),"0.000") &amp; " (" &amp; TEXT(ROUND('Mitigation Condensed'!F36,3),"0.000") &amp; ")"</f>
        <v>0.129 (0.000)</v>
      </c>
      <c r="E35" t="str">
        <f>TEXT(ROUND('Mitigation Condensed'!G36,3),"0.000") &amp; " (" &amp; TEXT(ROUND('Mitigation Condensed'!H36,3),"0.000") &amp; ")"</f>
        <v>0.161 (0.222)</v>
      </c>
      <c r="F35" t="str">
        <f>TEXT(ROUND('Mitigation Condensed'!I36,3),"0.000") &amp; " (" &amp; TEXT(ROUND('Mitigation Condensed'!J36,3),"0.000") &amp; ")"</f>
        <v>0.079 (0.000)</v>
      </c>
      <c r="G35" t="str">
        <f>TEXT(ROUND('Mitigation Condensed'!K36,3),"0.000") &amp; " (" &amp; TEXT(ROUND('Mitigation Condensed'!L36,3),"0.000") &amp; ")"</f>
        <v>0.093 (0.000)</v>
      </c>
      <c r="H35" s="2">
        <f>Unmitigated!C36</f>
        <v>0.18556205160891101</v>
      </c>
      <c r="I35" s="2">
        <f>Unmitigated!D36</f>
        <v>0.17374840620408999</v>
      </c>
      <c r="K35" s="1"/>
      <c r="L35" s="13">
        <v>0.75</v>
      </c>
      <c r="M35" s="12" t="s">
        <v>72</v>
      </c>
      <c r="N35" s="12" t="s">
        <v>131</v>
      </c>
      <c r="O35" s="12" t="s">
        <v>96</v>
      </c>
      <c r="P35" s="12" t="s">
        <v>84</v>
      </c>
      <c r="Q35" s="12" t="s">
        <v>163</v>
      </c>
      <c r="R35" s="12" t="s">
        <v>88</v>
      </c>
      <c r="S35" s="2">
        <v>0.18961654033707001</v>
      </c>
      <c r="T35" s="2">
        <v>0.18853550688402901</v>
      </c>
    </row>
    <row r="36" spans="1:20" x14ac:dyDescent="0.25">
      <c r="A36" s="1">
        <v>0.75</v>
      </c>
      <c r="B36" t="s">
        <v>72</v>
      </c>
      <c r="C36" t="str">
        <f>TEXT(ROUND('Mitigation Condensed'!C37,3),"0.000") &amp; " (" &amp; TEXT(ROUND('Mitigation Condensed'!D37,3),"0.000") &amp; ")"</f>
        <v>0.111 (0.000)</v>
      </c>
      <c r="D36" t="str">
        <f>TEXT(ROUND('Mitigation Condensed'!E37,3),"0.000") &amp; " (" &amp; TEXT(ROUND('Mitigation Condensed'!F37,3),"0.000") &amp; ")"</f>
        <v>0.135 (0.000)</v>
      </c>
      <c r="E36" t="str">
        <f>TEXT(ROUND('Mitigation Condensed'!G37,3),"0.000") &amp; " (" &amp; TEXT(ROUND('Mitigation Condensed'!H37,3),"0.000") &amp; ")"</f>
        <v>0.000 (1.000)</v>
      </c>
      <c r="F36" t="str">
        <f>TEXT(ROUND('Mitigation Condensed'!I37,3),"0.000") &amp; " (" &amp; TEXT(ROUND('Mitigation Condensed'!J37,3),"0.000") &amp; ")"</f>
        <v>0.068 (0.000)</v>
      </c>
      <c r="G36" t="str">
        <f>TEXT(ROUND('Mitigation Condensed'!K37,3),"0.000") &amp; " (" &amp; TEXT(ROUND('Mitigation Condensed'!L37,3),"0.000") &amp; ")"</f>
        <v>0.110 (0.000)</v>
      </c>
      <c r="H36" s="2">
        <f>Unmitigated!C37</f>
        <v>0.18961654033707001</v>
      </c>
      <c r="I36" s="2">
        <f>Unmitigated!D37</f>
        <v>0.18853550688402901</v>
      </c>
      <c r="K36" s="1"/>
      <c r="L36" s="13">
        <v>1</v>
      </c>
      <c r="M36" s="12" t="s">
        <v>72</v>
      </c>
      <c r="N36" s="12" t="s">
        <v>98</v>
      </c>
      <c r="O36" s="12" t="s">
        <v>164</v>
      </c>
      <c r="P36" s="12" t="s">
        <v>165</v>
      </c>
      <c r="Q36" s="12" t="s">
        <v>103</v>
      </c>
      <c r="R36" s="12" t="s">
        <v>83</v>
      </c>
      <c r="S36" s="2">
        <v>0.18961654033707001</v>
      </c>
      <c r="T36" s="2">
        <v>0.18853550688402901</v>
      </c>
    </row>
    <row r="37" spans="1:20" x14ac:dyDescent="0.25">
      <c r="A37" s="1">
        <v>0.75</v>
      </c>
      <c r="B37" t="s">
        <v>73</v>
      </c>
      <c r="C37" t="str">
        <f>TEXT(ROUND('Mitigation Condensed'!C38,3),"0.000") &amp; " (" &amp; TEXT(ROUND('Mitigation Condensed'!D38,3),"0.000") &amp; ")"</f>
        <v>0.107 (0.000)</v>
      </c>
      <c r="D37" t="str">
        <f>TEXT(ROUND('Mitigation Condensed'!E38,3),"0.000") &amp; " (" &amp; TEXT(ROUND('Mitigation Condensed'!F38,3),"0.000") &amp; ")"</f>
        <v>0.134 (0.000)</v>
      </c>
      <c r="E37" t="str">
        <f>TEXT(ROUND('Mitigation Condensed'!G38,3),"0.000") &amp; " (" &amp; TEXT(ROUND('Mitigation Condensed'!H38,3),"0.000") &amp; ")"</f>
        <v>0.000 (1.000)</v>
      </c>
      <c r="F37" t="str">
        <f>TEXT(ROUND('Mitigation Condensed'!I38,3),"0.000") &amp; " (" &amp; TEXT(ROUND('Mitigation Condensed'!J38,3),"0.000") &amp; ")"</f>
        <v>0.076 (0.000)</v>
      </c>
      <c r="G37" t="str">
        <f>TEXT(ROUND('Mitigation Condensed'!K38,3),"0.000") &amp; " (" &amp; TEXT(ROUND('Mitigation Condensed'!L38,3),"0.000") &amp; ")"</f>
        <v>0.095 (0.000)</v>
      </c>
      <c r="H37" s="2">
        <f>Unmitigated!C38</f>
        <v>0.179362777161995</v>
      </c>
      <c r="I37" s="2">
        <f>Unmitigated!D38</f>
        <v>0.17621821829168299</v>
      </c>
      <c r="K37" s="1"/>
    </row>
    <row r="38" spans="1:20" x14ac:dyDescent="0.25">
      <c r="A38" s="1">
        <v>0.75</v>
      </c>
      <c r="B38" t="s">
        <v>74</v>
      </c>
      <c r="C38" t="str">
        <f>TEXT(ROUND('Mitigation Condensed'!C39,3),"0.000") &amp; " (" &amp; TEXT(ROUND('Mitigation Condensed'!D39,3),"0.000") &amp; ")"</f>
        <v>0.066 (0.000)</v>
      </c>
      <c r="D38" t="str">
        <f>TEXT(ROUND('Mitigation Condensed'!E39,3),"0.000") &amp; " (" &amp; TEXT(ROUND('Mitigation Condensed'!F39,3),"0.000") &amp; ")"</f>
        <v>0.075 (0.000)</v>
      </c>
      <c r="E38" t="str">
        <f>TEXT(ROUND('Mitigation Condensed'!G39,3),"0.000") &amp; " (" &amp; TEXT(ROUND('Mitigation Condensed'!H39,3),"0.000") &amp; ")"</f>
        <v>0.000 (1.000)</v>
      </c>
      <c r="F38" t="str">
        <f>TEXT(ROUND('Mitigation Condensed'!I39,3),"0.000") &amp; " (" &amp; TEXT(ROUND('Mitigation Condensed'!J39,3),"0.000") &amp; ")"</f>
        <v>0.062 (0.000)</v>
      </c>
      <c r="G38" t="str">
        <f>TEXT(ROUND('Mitigation Condensed'!K39,3),"0.000") &amp; " (" &amp; TEXT(ROUND('Mitigation Condensed'!L39,3),"0.000") &amp; ")"</f>
        <v>0.052 (0.138)</v>
      </c>
      <c r="H38" s="2">
        <f>Unmitigated!C39</f>
        <v>0.165228648815406</v>
      </c>
      <c r="I38" s="2">
        <f>Unmitigated!D39</f>
        <v>0.16030496590530799</v>
      </c>
      <c r="K38" s="1"/>
      <c r="L38" t="s">
        <v>54</v>
      </c>
      <c r="M38" t="s">
        <v>77</v>
      </c>
      <c r="N38"/>
      <c r="O38"/>
      <c r="P38"/>
      <c r="Q38"/>
      <c r="R38"/>
      <c r="S38"/>
      <c r="T38"/>
    </row>
    <row r="39" spans="1:20" x14ac:dyDescent="0.25">
      <c r="A39" s="1">
        <v>1</v>
      </c>
      <c r="B39" t="s">
        <v>62</v>
      </c>
      <c r="C39" t="str">
        <f>TEXT(ROUND('Mitigation Condensed'!C40,3),"0.000") &amp; " (" &amp; TEXT(ROUND('Mitigation Condensed'!D40,3),"0.000") &amp; ")"</f>
        <v>0.090 (0.000)</v>
      </c>
      <c r="D39" t="str">
        <f>TEXT(ROUND('Mitigation Condensed'!E40,3),"0.000") &amp; " (" &amp; TEXT(ROUND('Mitigation Condensed'!F40,3),"0.000") &amp; ")"</f>
        <v>0.110 (0.000)</v>
      </c>
      <c r="E39" t="str">
        <f>TEXT(ROUND('Mitigation Condensed'!G40,3),"0.000") &amp; " (" &amp; TEXT(ROUND('Mitigation Condensed'!H40,3),"0.000") &amp; ")"</f>
        <v>0.000 (1.000)</v>
      </c>
      <c r="F39" t="str">
        <f>TEXT(ROUND('Mitigation Condensed'!I40,3),"0.000") &amp; " (" &amp; TEXT(ROUND('Mitigation Condensed'!J40,3),"0.000") &amp; ")"</f>
        <v>0.090 (0.000)</v>
      </c>
      <c r="G39" t="str">
        <f>TEXT(ROUND('Mitigation Condensed'!K40,3),"0.000") &amp; " (" &amp; TEXT(ROUND('Mitigation Condensed'!L40,3),"0.000") &amp; ")"</f>
        <v>0.042 (0.000)</v>
      </c>
      <c r="H39" s="2">
        <f>Unmitigated!C40</f>
        <v>0.16596302351145101</v>
      </c>
      <c r="I39" s="2">
        <f>Unmitigated!D40</f>
        <v>0.147063899596478</v>
      </c>
      <c r="K39" s="1"/>
      <c r="L39" t="s">
        <v>58</v>
      </c>
      <c r="M39" t="s">
        <v>64</v>
      </c>
      <c r="N39" t="s">
        <v>6</v>
      </c>
      <c r="O39" t="s">
        <v>16</v>
      </c>
      <c r="P39" t="s">
        <v>53</v>
      </c>
      <c r="Q39" t="s">
        <v>3</v>
      </c>
      <c r="R39" t="s">
        <v>67</v>
      </c>
      <c r="S39" t="s">
        <v>75</v>
      </c>
      <c r="T39" t="s">
        <v>76</v>
      </c>
    </row>
    <row r="40" spans="1:20" x14ac:dyDescent="0.25">
      <c r="A40" s="1">
        <v>1</v>
      </c>
      <c r="B40" t="s">
        <v>63</v>
      </c>
      <c r="C40" t="str">
        <f>TEXT(ROUND('Mitigation Condensed'!C41,3),"0.000") &amp; " (" &amp; TEXT(ROUND('Mitigation Condensed'!D41,3),"0.000") &amp; ")"</f>
        <v>0.131 (0.000)</v>
      </c>
      <c r="D40" t="str">
        <f>TEXT(ROUND('Mitigation Condensed'!E41,3),"0.000") &amp; " (" &amp; TEXT(ROUND('Mitigation Condensed'!F41,3),"0.000") &amp; ")"</f>
        <v>0.145 (0.000)</v>
      </c>
      <c r="E40" t="str">
        <f>TEXT(ROUND('Mitigation Condensed'!G41,3),"0.000") &amp; " (" &amp; TEXT(ROUND('Mitigation Condensed'!H41,3),"0.000") &amp; ")"</f>
        <v>0.010 (0.000)</v>
      </c>
      <c r="F40" t="str">
        <f>TEXT(ROUND('Mitigation Condensed'!I41,3),"0.000") &amp; " (" &amp; TEXT(ROUND('Mitigation Condensed'!J41,3),"0.000") &amp; ")"</f>
        <v>0.115 (0.000)</v>
      </c>
      <c r="G40" t="str">
        <f>TEXT(ROUND('Mitigation Condensed'!K41,3),"0.000") &amp; " (" &amp; TEXT(ROUND('Mitigation Condensed'!L41,3),"0.000") &amp; ")"</f>
        <v>0.135 (0.000)</v>
      </c>
      <c r="H40" s="2">
        <f>Unmitigated!C41</f>
        <v>0.198645968998965</v>
      </c>
      <c r="I40" s="2">
        <f>Unmitigated!D41</f>
        <v>0.210783900501086</v>
      </c>
      <c r="K40" s="1"/>
      <c r="L40" s="13">
        <v>0</v>
      </c>
      <c r="M40" s="12" t="s">
        <v>73</v>
      </c>
      <c r="N40" s="12" t="s">
        <v>142</v>
      </c>
      <c r="O40" s="12" t="s">
        <v>160</v>
      </c>
      <c r="P40" s="12" t="s">
        <v>84</v>
      </c>
      <c r="Q40" s="12" t="s">
        <v>113</v>
      </c>
      <c r="R40" s="12" t="s">
        <v>117</v>
      </c>
      <c r="S40" s="2">
        <v>0.179362777161995</v>
      </c>
      <c r="T40" s="2">
        <v>0.17621821829168299</v>
      </c>
    </row>
    <row r="41" spans="1:20" x14ac:dyDescent="0.25">
      <c r="A41" s="1">
        <v>1</v>
      </c>
      <c r="B41" t="s">
        <v>68</v>
      </c>
      <c r="C41" t="str">
        <f>TEXT(ROUND('Mitigation Condensed'!C42,3),"0.000") &amp; " (" &amp; TEXT(ROUND('Mitigation Condensed'!D42,3),"0.000") &amp; ")"</f>
        <v>0.085 (0.000)</v>
      </c>
      <c r="D41" t="str">
        <f>TEXT(ROUND('Mitigation Condensed'!E42,3),"0.000") &amp; " (" &amp; TEXT(ROUND('Mitigation Condensed'!F42,3),"0.000") &amp; ")"</f>
        <v>0.104 (0.000)</v>
      </c>
      <c r="E41" t="str">
        <f>TEXT(ROUND('Mitigation Condensed'!G42,3),"0.000") &amp; " (" &amp; TEXT(ROUND('Mitigation Condensed'!H42,3),"0.000") &amp; ")"</f>
        <v>0.000 (1.000)</v>
      </c>
      <c r="F41" t="str">
        <f>TEXT(ROUND('Mitigation Condensed'!I42,3),"0.000") &amp; " (" &amp; TEXT(ROUND('Mitigation Condensed'!J42,3),"0.000") &amp; ")"</f>
        <v>0.087 (0.000)</v>
      </c>
      <c r="G41" t="str">
        <f>TEXT(ROUND('Mitigation Condensed'!K42,3),"0.000") &amp; " (" &amp; TEXT(ROUND('Mitigation Condensed'!L42,3),"0.000") &amp; ")"</f>
        <v>0.076 (0.000)</v>
      </c>
      <c r="H41" s="2">
        <f>Unmitigated!C42</f>
        <v>0.156747081714217</v>
      </c>
      <c r="I41" s="2">
        <f>Unmitigated!D42</f>
        <v>0.14799268257013901</v>
      </c>
      <c r="K41" s="1"/>
      <c r="L41" s="13">
        <v>0.25</v>
      </c>
      <c r="M41" s="12" t="s">
        <v>73</v>
      </c>
      <c r="N41" s="12" t="s">
        <v>118</v>
      </c>
      <c r="O41" s="12" t="s">
        <v>108</v>
      </c>
      <c r="P41" s="12" t="s">
        <v>95</v>
      </c>
      <c r="Q41" s="12" t="s">
        <v>136</v>
      </c>
      <c r="R41" s="12" t="s">
        <v>167</v>
      </c>
      <c r="S41" s="2">
        <v>0.179362777161995</v>
      </c>
      <c r="T41" s="2">
        <v>0.17621821829168299</v>
      </c>
    </row>
    <row r="42" spans="1:20" x14ac:dyDescent="0.25">
      <c r="A42" s="1">
        <v>1</v>
      </c>
      <c r="B42" t="s">
        <v>69</v>
      </c>
      <c r="C42" t="str">
        <f>TEXT(ROUND('Mitigation Condensed'!C43,3),"0.000") &amp; " (" &amp; TEXT(ROUND('Mitigation Condensed'!D43,3),"0.000") &amp; ")"</f>
        <v>0.099 (0.000)</v>
      </c>
      <c r="D42" t="str">
        <f>TEXT(ROUND('Mitigation Condensed'!E43,3),"0.000") &amp; " (" &amp; TEXT(ROUND('Mitigation Condensed'!F43,3),"0.000") &amp; ")"</f>
        <v>0.114 (0.000)</v>
      </c>
      <c r="E42" t="str">
        <f>TEXT(ROUND('Mitigation Condensed'!G43,3),"0.000") &amp; " (" &amp; TEXT(ROUND('Mitigation Condensed'!H43,3),"0.000") &amp; ")"</f>
        <v>0.000 (1.000)</v>
      </c>
      <c r="F42" t="str">
        <f>TEXT(ROUND('Mitigation Condensed'!I43,3),"0.000") &amp; " (" &amp; TEXT(ROUND('Mitigation Condensed'!J43,3),"0.000") &amp; ")"</f>
        <v>0.090 (0.000)</v>
      </c>
      <c r="G42" t="str">
        <f>TEXT(ROUND('Mitigation Condensed'!K43,3),"0.000") &amp; " (" &amp; TEXT(ROUND('Mitigation Condensed'!L43,3),"0.000") &amp; ")"</f>
        <v>0.077 (0.000)</v>
      </c>
      <c r="H42" s="2">
        <f>Unmitigated!C43</f>
        <v>0.168519407311474</v>
      </c>
      <c r="I42" s="2">
        <f>Unmitigated!D43</f>
        <v>0.16782986380780399</v>
      </c>
      <c r="K42" s="1"/>
      <c r="L42" s="13">
        <v>0.5</v>
      </c>
      <c r="M42" s="12" t="s">
        <v>73</v>
      </c>
      <c r="N42" s="12" t="s">
        <v>83</v>
      </c>
      <c r="O42" s="12" t="s">
        <v>143</v>
      </c>
      <c r="P42" s="12" t="s">
        <v>80</v>
      </c>
      <c r="Q42" s="12" t="s">
        <v>81</v>
      </c>
      <c r="R42" s="12" t="s">
        <v>171</v>
      </c>
      <c r="S42" s="2">
        <v>0.179362777161995</v>
      </c>
      <c r="T42" s="2">
        <v>0.17621821829168299</v>
      </c>
    </row>
    <row r="43" spans="1:20" x14ac:dyDescent="0.25">
      <c r="A43" s="1">
        <v>1</v>
      </c>
      <c r="B43" t="s">
        <v>70</v>
      </c>
      <c r="C43" t="str">
        <f>TEXT(ROUND('Mitigation Condensed'!C44,3),"0.000") &amp; " (" &amp; TEXT(ROUND('Mitigation Condensed'!D44,3),"0.000") &amp; ")"</f>
        <v>0.109 (0.000)</v>
      </c>
      <c r="D43" t="str">
        <f>TEXT(ROUND('Mitigation Condensed'!E44,3),"0.000") &amp; " (" &amp; TEXT(ROUND('Mitigation Condensed'!F44,3),"0.000") &amp; ")"</f>
        <v>0.128 (0.000)</v>
      </c>
      <c r="E43" t="str">
        <f>TEXT(ROUND('Mitigation Condensed'!G44,3),"0.000") &amp; " (" &amp; TEXT(ROUND('Mitigation Condensed'!H44,3),"0.000") &amp; ")"</f>
        <v>0.004 (0.814)</v>
      </c>
      <c r="F43" t="str">
        <f>TEXT(ROUND('Mitigation Condensed'!I44,3),"0.000") &amp; " (" &amp; TEXT(ROUND('Mitigation Condensed'!J44,3),"0.000") &amp; ")"</f>
        <v>0.099 (0.000)</v>
      </c>
      <c r="G43" t="str">
        <f>TEXT(ROUND('Mitigation Condensed'!K44,3),"0.000") &amp; " (" &amp; TEXT(ROUND('Mitigation Condensed'!L44,3),"0.000") &amp; ")"</f>
        <v>0.070 (0.019)</v>
      </c>
      <c r="H43" s="2">
        <f>Unmitigated!C44</f>
        <v>0.18708791264740801</v>
      </c>
      <c r="I43" s="2">
        <f>Unmitigated!D44</f>
        <v>0.16204223060428399</v>
      </c>
      <c r="K43" s="1"/>
      <c r="L43" s="13">
        <v>0.75</v>
      </c>
      <c r="M43" s="12" t="s">
        <v>73</v>
      </c>
      <c r="N43" s="12" t="s">
        <v>79</v>
      </c>
      <c r="O43" s="12" t="s">
        <v>99</v>
      </c>
      <c r="P43" s="12" t="s">
        <v>84</v>
      </c>
      <c r="Q43" s="12" t="s">
        <v>127</v>
      </c>
      <c r="R43" s="12" t="s">
        <v>159</v>
      </c>
      <c r="S43" s="2">
        <v>0.179362777161995</v>
      </c>
      <c r="T43" s="2">
        <v>0.17621821829168299</v>
      </c>
    </row>
    <row r="44" spans="1:20" x14ac:dyDescent="0.25">
      <c r="A44" s="1">
        <v>1</v>
      </c>
      <c r="B44" t="s">
        <v>71</v>
      </c>
      <c r="C44" t="str">
        <f>TEXT(ROUND('Mitigation Condensed'!C45,3),"0.000") &amp; " (" &amp; TEXT(ROUND('Mitigation Condensed'!D45,3),"0.000") &amp; ")"</f>
        <v>0.111 (0.000)</v>
      </c>
      <c r="D44" t="str">
        <f>TEXT(ROUND('Mitigation Condensed'!E45,3),"0.000") &amp; " (" &amp; TEXT(ROUND('Mitigation Condensed'!F45,3),"0.000") &amp; ")"</f>
        <v>0.133 (0.000)</v>
      </c>
      <c r="E44" t="str">
        <f>TEXT(ROUND('Mitigation Condensed'!G45,3),"0.000") &amp; " (" &amp; TEXT(ROUND('Mitigation Condensed'!H45,3),"0.000") &amp; ")"</f>
        <v>0.003 (0.818)</v>
      </c>
      <c r="F44" t="str">
        <f>TEXT(ROUND('Mitigation Condensed'!I45,3),"0.000") &amp; " (" &amp; TEXT(ROUND('Mitigation Condensed'!J45,3),"0.000") &amp; ")"</f>
        <v>0.116 (0.000)</v>
      </c>
      <c r="G44" t="str">
        <f>TEXT(ROUND('Mitigation Condensed'!K45,3),"0.000") &amp; " (" &amp; TEXT(ROUND('Mitigation Condensed'!L45,3),"0.000") &amp; ")"</f>
        <v>0.081 (0.000)</v>
      </c>
      <c r="H44" s="2">
        <f>Unmitigated!C45</f>
        <v>0.18556205160891101</v>
      </c>
      <c r="I44" s="2">
        <f>Unmitigated!D45</f>
        <v>0.17374840620408999</v>
      </c>
      <c r="K44" s="1"/>
      <c r="L44" s="13">
        <v>1</v>
      </c>
      <c r="M44" s="12" t="s">
        <v>73</v>
      </c>
      <c r="N44" s="12" t="s">
        <v>172</v>
      </c>
      <c r="O44" s="12" t="s">
        <v>173</v>
      </c>
      <c r="P44" s="12" t="s">
        <v>84</v>
      </c>
      <c r="Q44" s="12" t="s">
        <v>140</v>
      </c>
      <c r="R44" s="12" t="s">
        <v>130</v>
      </c>
      <c r="S44" s="2">
        <v>0.179362777161995</v>
      </c>
      <c r="T44" s="2">
        <v>0.17621821829168299</v>
      </c>
    </row>
    <row r="45" spans="1:20" x14ac:dyDescent="0.25">
      <c r="A45" s="1">
        <v>1</v>
      </c>
      <c r="B45" t="s">
        <v>72</v>
      </c>
      <c r="C45" t="str">
        <f>TEXT(ROUND('Mitigation Condensed'!C46,3),"0.000") &amp; " (" &amp; TEXT(ROUND('Mitigation Condensed'!D46,3),"0.000") &amp; ")"</f>
        <v>0.119 (0.000)</v>
      </c>
      <c r="D45" t="str">
        <f>TEXT(ROUND('Mitigation Condensed'!E46,3),"0.000") &amp; " (" &amp; TEXT(ROUND('Mitigation Condensed'!F46,3),"0.000") &amp; ")"</f>
        <v>0.142 (0.000)</v>
      </c>
      <c r="E45" t="str">
        <f>TEXT(ROUND('Mitigation Condensed'!G46,3),"0.000") &amp; " (" &amp; TEXT(ROUND('Mitigation Condensed'!H46,3),"0.000") &amp; ")"</f>
        <v>0.003 (0.814)</v>
      </c>
      <c r="F45" t="str">
        <f>TEXT(ROUND('Mitigation Condensed'!I46,3),"0.000") &amp; " (" &amp; TEXT(ROUND('Mitigation Condensed'!J46,3),"0.000") &amp; ")"</f>
        <v>0.121 (0.000)</v>
      </c>
      <c r="G45" t="str">
        <f>TEXT(ROUND('Mitigation Condensed'!K46,3),"0.000") &amp; " (" &amp; TEXT(ROUND('Mitigation Condensed'!L46,3),"0.000") &amp; ")"</f>
        <v>0.104 (0.000)</v>
      </c>
      <c r="H45" s="2">
        <f>Unmitigated!C46</f>
        <v>0.18961654033707001</v>
      </c>
      <c r="I45" s="2">
        <f>Unmitigated!D46</f>
        <v>0.18853550688402901</v>
      </c>
      <c r="K45" s="1"/>
      <c r="L45" s="13">
        <v>0</v>
      </c>
      <c r="M45" s="12" t="s">
        <v>74</v>
      </c>
      <c r="N45" s="12" t="s">
        <v>124</v>
      </c>
      <c r="O45" s="12" t="s">
        <v>112</v>
      </c>
      <c r="P45" s="12" t="s">
        <v>84</v>
      </c>
      <c r="Q45" s="12" t="s">
        <v>117</v>
      </c>
      <c r="R45" s="12" t="s">
        <v>174</v>
      </c>
      <c r="S45" s="2">
        <v>0.165228648815406</v>
      </c>
      <c r="T45" s="2">
        <v>0.16030496590530799</v>
      </c>
    </row>
    <row r="46" spans="1:20" x14ac:dyDescent="0.25">
      <c r="A46" s="1">
        <v>1</v>
      </c>
      <c r="B46" t="s">
        <v>73</v>
      </c>
      <c r="C46" t="str">
        <f>TEXT(ROUND('Mitigation Condensed'!C47,3),"0.000") &amp; " (" &amp; TEXT(ROUND('Mitigation Condensed'!D47,3),"0.000") &amp; ")"</f>
        <v>0.117 (0.000)</v>
      </c>
      <c r="D46" t="str">
        <f>TEXT(ROUND('Mitigation Condensed'!E47,3),"0.000") &amp; " (" &amp; TEXT(ROUND('Mitigation Condensed'!F47,3),"0.000") &amp; ")"</f>
        <v>0.138 (0.000)</v>
      </c>
      <c r="E46" t="str">
        <f>TEXT(ROUND('Mitigation Condensed'!G47,3),"0.000") &amp; " (" &amp; TEXT(ROUND('Mitigation Condensed'!H47,3),"0.000") &amp; ")"</f>
        <v>0.000 (1.000)</v>
      </c>
      <c r="F46" t="str">
        <f>TEXT(ROUND('Mitigation Condensed'!I47,3),"0.000") &amp; " (" &amp; TEXT(ROUND('Mitigation Condensed'!J47,3),"0.000") &amp; ")"</f>
        <v>0.114 (0.000)</v>
      </c>
      <c r="G46" t="str">
        <f>TEXT(ROUND('Mitigation Condensed'!K47,3),"0.000") &amp; " (" &amp; TEXT(ROUND('Mitigation Condensed'!L47,3),"0.000") &amp; ")"</f>
        <v>0.082 (0.000)</v>
      </c>
      <c r="H46" s="2">
        <f>Unmitigated!C47</f>
        <v>0.179362777161995</v>
      </c>
      <c r="I46" s="2">
        <f>Unmitigated!D47</f>
        <v>0.17621821829168299</v>
      </c>
      <c r="K46" s="1"/>
      <c r="L46" s="13">
        <v>0.25</v>
      </c>
      <c r="M46" s="12" t="s">
        <v>74</v>
      </c>
      <c r="N46" s="12" t="s">
        <v>137</v>
      </c>
      <c r="O46" s="12" t="s">
        <v>87</v>
      </c>
      <c r="P46" s="12" t="s">
        <v>130</v>
      </c>
      <c r="Q46" s="12" t="s">
        <v>175</v>
      </c>
      <c r="R46" s="12" t="s">
        <v>117</v>
      </c>
      <c r="S46" s="2">
        <v>0.165228648815406</v>
      </c>
      <c r="T46" s="2">
        <v>0.16030496590530799</v>
      </c>
    </row>
    <row r="47" spans="1:20" x14ac:dyDescent="0.25">
      <c r="A47" s="1">
        <v>1</v>
      </c>
      <c r="B47" t="s">
        <v>74</v>
      </c>
      <c r="C47" t="str">
        <f>TEXT(ROUND('Mitigation Condensed'!C48,3),"0.000") &amp; " (" &amp; TEXT(ROUND('Mitigation Condensed'!D48,3),"0.000") &amp; ")"</f>
        <v>0.091 (0.000)</v>
      </c>
      <c r="D47" t="str">
        <f>TEXT(ROUND('Mitigation Condensed'!E48,3),"0.000") &amp; " (" &amp; TEXT(ROUND('Mitigation Condensed'!F48,3),"0.000") &amp; ")"</f>
        <v>0.106 (0.000)</v>
      </c>
      <c r="E47" t="str">
        <f>TEXT(ROUND('Mitigation Condensed'!G48,3),"0.000") &amp; " (" &amp; TEXT(ROUND('Mitigation Condensed'!H48,3),"0.000") &amp; ")"</f>
        <v>0.000 (1.000)</v>
      </c>
      <c r="F47" t="str">
        <f>TEXT(ROUND('Mitigation Condensed'!I48,3),"0.000") &amp; " (" &amp; TEXT(ROUND('Mitigation Condensed'!J48,3),"0.000") &amp; ")"</f>
        <v>0.090 (0.000)</v>
      </c>
      <c r="G47" t="str">
        <f>TEXT(ROUND('Mitigation Condensed'!K48,3),"0.000") &amp; " (" &amp; TEXT(ROUND('Mitigation Condensed'!L48,3),"0.000") &amp; ")"</f>
        <v>0.050 (0.138)</v>
      </c>
      <c r="H47" s="2">
        <f>Unmitigated!C48</f>
        <v>0.165228648815406</v>
      </c>
      <c r="I47" s="2">
        <f>Unmitigated!D48</f>
        <v>0.16030496590530799</v>
      </c>
      <c r="L47" s="13">
        <v>0.5</v>
      </c>
      <c r="M47" s="12" t="s">
        <v>74</v>
      </c>
      <c r="N47" s="12" t="s">
        <v>128</v>
      </c>
      <c r="O47" s="12" t="s">
        <v>121</v>
      </c>
      <c r="P47" s="12" t="s">
        <v>80</v>
      </c>
      <c r="Q47" s="12" t="s">
        <v>176</v>
      </c>
      <c r="R47" s="12" t="s">
        <v>177</v>
      </c>
      <c r="S47" s="2">
        <v>0.165228648815406</v>
      </c>
      <c r="T47" s="2">
        <v>0.16030496590530799</v>
      </c>
    </row>
    <row r="48" spans="1:20" x14ac:dyDescent="0.25">
      <c r="L48" s="13">
        <v>0.75</v>
      </c>
      <c r="M48" s="12" t="s">
        <v>74</v>
      </c>
      <c r="N48" s="12" t="s">
        <v>121</v>
      </c>
      <c r="O48" s="12" t="s">
        <v>158</v>
      </c>
      <c r="P48" s="12" t="s">
        <v>84</v>
      </c>
      <c r="Q48" s="12" t="s">
        <v>137</v>
      </c>
      <c r="R48" s="12" t="s">
        <v>178</v>
      </c>
      <c r="S48" s="2">
        <v>0.165228648815406</v>
      </c>
      <c r="T48" s="2">
        <v>0.16030496590530799</v>
      </c>
    </row>
    <row r="49" spans="12:20" x14ac:dyDescent="0.25">
      <c r="L49" s="13">
        <v>1</v>
      </c>
      <c r="M49" s="12" t="s">
        <v>74</v>
      </c>
      <c r="N49" s="12" t="s">
        <v>122</v>
      </c>
      <c r="O49" s="12" t="s">
        <v>142</v>
      </c>
      <c r="P49" s="12" t="s">
        <v>84</v>
      </c>
      <c r="Q49" s="12" t="s">
        <v>87</v>
      </c>
      <c r="R49" s="12" t="s">
        <v>179</v>
      </c>
      <c r="S49" s="2">
        <v>0.165228648815406</v>
      </c>
      <c r="T49" s="2">
        <v>0.16030496590530799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B073-307A-4D5E-800D-6A308C31EEE4}">
  <dimension ref="A1:AB54"/>
  <sheetViews>
    <sheetView workbookViewId="0">
      <selection activeCell="L20" sqref="L20"/>
    </sheetView>
  </sheetViews>
  <sheetFormatPr defaultRowHeight="15" x14ac:dyDescent="0.25"/>
  <sheetData>
    <row r="1" spans="1:28" x14ac:dyDescent="0.25">
      <c r="A1" s="13" t="s">
        <v>54</v>
      </c>
      <c r="B1" s="12" t="s">
        <v>77</v>
      </c>
      <c r="C1" s="12"/>
      <c r="D1" s="12"/>
      <c r="E1" s="12"/>
      <c r="F1" s="12"/>
      <c r="G1" s="12"/>
      <c r="I1" s="3" t="s">
        <v>260</v>
      </c>
      <c r="P1" s="3"/>
      <c r="W1" s="3"/>
    </row>
    <row r="2" spans="1:28" x14ac:dyDescent="0.25">
      <c r="A2" s="13" t="s">
        <v>190</v>
      </c>
      <c r="B2" s="12" t="s">
        <v>256</v>
      </c>
      <c r="C2" s="12" t="s">
        <v>6</v>
      </c>
      <c r="D2" s="12" t="s">
        <v>16</v>
      </c>
      <c r="E2" s="12" t="s">
        <v>53</v>
      </c>
      <c r="F2" s="12" t="s">
        <v>3</v>
      </c>
      <c r="G2" s="12" t="s">
        <v>67</v>
      </c>
      <c r="I2" s="16" t="s">
        <v>267</v>
      </c>
      <c r="J2" s="3" t="s">
        <v>6</v>
      </c>
      <c r="K2" s="16" t="s">
        <v>16</v>
      </c>
      <c r="L2" s="16" t="s">
        <v>53</v>
      </c>
      <c r="M2" s="16" t="s">
        <v>3</v>
      </c>
      <c r="N2" s="16" t="s">
        <v>67</v>
      </c>
      <c r="O2" s="2"/>
      <c r="P2" s="16"/>
      <c r="Q2" s="3"/>
      <c r="R2" s="16"/>
      <c r="S2" s="16"/>
      <c r="T2" s="16"/>
      <c r="U2" s="16"/>
      <c r="W2" s="16"/>
      <c r="X2" s="3"/>
      <c r="Y2" s="16"/>
      <c r="Z2" s="16"/>
      <c r="AA2" s="16"/>
      <c r="AB2" s="16"/>
    </row>
    <row r="3" spans="1:28" x14ac:dyDescent="0.25">
      <c r="A3" s="13">
        <v>0</v>
      </c>
      <c r="B3" s="12" t="s">
        <v>62</v>
      </c>
      <c r="C3" s="2">
        <v>7.1999999999999995E-2</v>
      </c>
      <c r="D3" s="2">
        <v>9.7000000000000003E-2</v>
      </c>
      <c r="E3" s="2">
        <v>0</v>
      </c>
      <c r="F3" s="2">
        <v>6.7000000000000004E-2</v>
      </c>
      <c r="G3" s="2">
        <v>4.2999999999999997E-2</v>
      </c>
      <c r="I3" s="12" t="s">
        <v>62</v>
      </c>
      <c r="J3" s="2">
        <f>C7-C3</f>
        <v>1.8000000000000002E-2</v>
      </c>
      <c r="K3" s="2">
        <f>D7-D3</f>
        <v>1.2999999999999998E-2</v>
      </c>
      <c r="L3" s="2">
        <f>E7-E3</f>
        <v>0</v>
      </c>
      <c r="M3" s="2">
        <f>F7-F3</f>
        <v>2.2999999999999993E-2</v>
      </c>
      <c r="N3" s="2">
        <f>G7-G3</f>
        <v>-9.9999999999999395E-4</v>
      </c>
      <c r="O3" s="12"/>
      <c r="P3" s="12"/>
      <c r="Q3" s="12"/>
      <c r="R3" s="12"/>
      <c r="S3" s="12"/>
      <c r="T3" s="12"/>
      <c r="U3" s="12"/>
      <c r="W3" s="12"/>
      <c r="X3" s="12"/>
      <c r="Y3" s="12"/>
      <c r="Z3" s="12"/>
      <c r="AA3" s="12"/>
      <c r="AB3" s="12"/>
    </row>
    <row r="4" spans="1:28" x14ac:dyDescent="0.25">
      <c r="A4" s="13">
        <v>0.25</v>
      </c>
      <c r="B4" s="12" t="s">
        <v>62</v>
      </c>
      <c r="C4" s="2">
        <v>6.3E-2</v>
      </c>
      <c r="D4" s="2">
        <v>9.9000000000000005E-2</v>
      </c>
      <c r="E4" s="2">
        <v>9.2999999999999999E-2</v>
      </c>
      <c r="F4" s="2">
        <v>4.2999999999999997E-2</v>
      </c>
      <c r="G4" s="2">
        <v>5.7000000000000002E-2</v>
      </c>
      <c r="I4" s="12" t="s">
        <v>259</v>
      </c>
      <c r="J4" s="2">
        <f>C12-C8</f>
        <v>1.100000000000001E-2</v>
      </c>
      <c r="K4" s="2">
        <f>D12-D8</f>
        <v>4.9999999999999767E-3</v>
      </c>
      <c r="L4" s="15">
        <f>E12-E8</f>
        <v>-0.17799999999999999</v>
      </c>
      <c r="M4" s="2">
        <f>F12-F8</f>
        <v>3.7000000000000005E-2</v>
      </c>
      <c r="N4" s="2">
        <f>G12-G8</f>
        <v>8.0000000000000071E-3</v>
      </c>
      <c r="O4" s="2"/>
      <c r="P4" s="12"/>
      <c r="Q4" s="2"/>
      <c r="R4" s="2"/>
      <c r="S4" s="2"/>
      <c r="T4" s="2"/>
      <c r="U4" s="2"/>
      <c r="W4" s="12"/>
      <c r="X4" s="2"/>
      <c r="Y4" s="2"/>
      <c r="Z4" s="2"/>
      <c r="AA4" s="2"/>
      <c r="AB4" s="2"/>
    </row>
    <row r="5" spans="1:28" x14ac:dyDescent="0.25">
      <c r="A5" s="13">
        <v>0.5</v>
      </c>
      <c r="B5" s="12" t="s">
        <v>62</v>
      </c>
      <c r="C5" s="2">
        <v>0.08</v>
      </c>
      <c r="D5" s="2">
        <v>0.107</v>
      </c>
      <c r="E5" s="2">
        <v>2.1999999999999999E-2</v>
      </c>
      <c r="F5" s="2">
        <v>2.1999999999999999E-2</v>
      </c>
      <c r="G5" s="2">
        <v>3.9E-2</v>
      </c>
      <c r="I5" t="s">
        <v>261</v>
      </c>
      <c r="J5" s="2">
        <f>C20-C16</f>
        <v>-9.9999999999998701E-4</v>
      </c>
      <c r="K5" s="2">
        <f>D20-D16</f>
        <v>-6.0000000000000053E-3</v>
      </c>
      <c r="L5" s="2">
        <f>E20-E16</f>
        <v>0</v>
      </c>
      <c r="M5" s="2">
        <f>F20-F16</f>
        <v>2.8999999999999991E-2</v>
      </c>
      <c r="N5" s="15">
        <f>G20-G16</f>
        <v>1.6E-2</v>
      </c>
      <c r="O5" s="2"/>
      <c r="Q5" s="2"/>
      <c r="R5" s="2"/>
      <c r="S5" s="2"/>
      <c r="T5" s="2"/>
      <c r="U5" s="2"/>
      <c r="X5" s="2"/>
      <c r="Y5" s="2"/>
      <c r="Z5" s="2"/>
      <c r="AA5" s="2"/>
      <c r="AB5" s="2"/>
    </row>
    <row r="6" spans="1:28" x14ac:dyDescent="0.25">
      <c r="A6" s="13">
        <v>0.75</v>
      </c>
      <c r="B6" s="12" t="s">
        <v>62</v>
      </c>
      <c r="C6" s="2">
        <v>8.3000000000000004E-2</v>
      </c>
      <c r="D6" s="2">
        <v>0.104</v>
      </c>
      <c r="E6" s="2">
        <v>0</v>
      </c>
      <c r="F6" s="2">
        <v>0.06</v>
      </c>
      <c r="G6" s="2">
        <v>4.1000000000000002E-2</v>
      </c>
      <c r="I6" t="s">
        <v>262</v>
      </c>
      <c r="J6" s="2">
        <f>C25-C21</f>
        <v>2.1000000000000005E-2</v>
      </c>
      <c r="K6" s="2">
        <f>D25-D21</f>
        <v>1.0000000000000009E-3</v>
      </c>
      <c r="L6" s="2">
        <f>E25-E21</f>
        <v>0</v>
      </c>
      <c r="M6" s="2">
        <f>F25-F21</f>
        <v>2.4999999999999994E-2</v>
      </c>
      <c r="N6" s="2">
        <f>G25-G21</f>
        <v>1.4999999999999999E-2</v>
      </c>
      <c r="O6" s="2"/>
      <c r="Q6" s="2"/>
      <c r="R6" s="2"/>
      <c r="S6" s="2"/>
      <c r="T6" s="2"/>
      <c r="U6" s="2"/>
      <c r="X6" s="2"/>
      <c r="Y6" s="2"/>
      <c r="Z6" s="2"/>
      <c r="AA6" s="2"/>
      <c r="AB6" s="2"/>
    </row>
    <row r="7" spans="1:28" x14ac:dyDescent="0.25">
      <c r="A7" s="13">
        <v>1</v>
      </c>
      <c r="B7" s="12" t="s">
        <v>62</v>
      </c>
      <c r="C7" s="2">
        <v>0.09</v>
      </c>
      <c r="D7" s="2">
        <v>0.11</v>
      </c>
      <c r="E7" s="2">
        <v>0</v>
      </c>
      <c r="F7" s="2">
        <v>0.09</v>
      </c>
      <c r="G7" s="2">
        <v>4.2000000000000003E-2</v>
      </c>
      <c r="I7" t="s">
        <v>263</v>
      </c>
      <c r="J7" s="2">
        <f>C30-C26</f>
        <v>3.0000000000000027E-3</v>
      </c>
      <c r="K7" s="2">
        <f>D30-D26</f>
        <v>5.0000000000000044E-3</v>
      </c>
      <c r="L7" s="2">
        <f>E30-E26</f>
        <v>-0.09</v>
      </c>
      <c r="M7" s="2">
        <f>F30-F26</f>
        <v>2.5000000000000008E-2</v>
      </c>
      <c r="N7" s="2">
        <f>G30-G26</f>
        <v>1.2000000000000004E-2</v>
      </c>
      <c r="O7" s="2"/>
      <c r="Q7" s="2"/>
      <c r="R7" s="2"/>
      <c r="S7" s="2"/>
      <c r="T7" s="2"/>
      <c r="U7" s="2"/>
      <c r="X7" s="2"/>
      <c r="Y7" s="2"/>
      <c r="Z7" s="2"/>
      <c r="AA7" s="2"/>
      <c r="AB7" s="2"/>
    </row>
    <row r="8" spans="1:28" x14ac:dyDescent="0.25">
      <c r="A8" s="13">
        <v>0</v>
      </c>
      <c r="B8" s="12" t="s">
        <v>63</v>
      </c>
      <c r="C8" s="2">
        <v>0.12</v>
      </c>
      <c r="D8" s="2">
        <v>0.14000000000000001</v>
      </c>
      <c r="E8" s="2">
        <v>0.188</v>
      </c>
      <c r="F8" s="2">
        <v>7.8E-2</v>
      </c>
      <c r="G8" s="2">
        <v>0.127</v>
      </c>
      <c r="I8" t="s">
        <v>264</v>
      </c>
      <c r="J8" s="2">
        <f>C35-C31</f>
        <v>1.3999999999999999E-2</v>
      </c>
      <c r="K8" s="2">
        <f>D35-D31</f>
        <v>1.1999999999999983E-2</v>
      </c>
      <c r="L8" s="15">
        <f>E35-E31</f>
        <v>3.0000000000000001E-3</v>
      </c>
      <c r="M8" s="2">
        <f>F35-F31</f>
        <v>0.05</v>
      </c>
      <c r="N8" s="2">
        <f>G35-G31</f>
        <v>8.9999999999999941E-3</v>
      </c>
      <c r="O8" s="2"/>
      <c r="Q8" s="2"/>
      <c r="R8" s="2"/>
      <c r="S8" s="2"/>
      <c r="T8" s="2"/>
      <c r="U8" s="2"/>
      <c r="X8" s="2"/>
      <c r="Y8" s="2"/>
      <c r="Z8" s="2"/>
      <c r="AA8" s="2"/>
      <c r="AB8" s="2"/>
    </row>
    <row r="9" spans="1:28" x14ac:dyDescent="0.25">
      <c r="A9" s="13">
        <v>0.25</v>
      </c>
      <c r="B9" s="12" t="s">
        <v>63</v>
      </c>
      <c r="C9" s="2">
        <v>0.113</v>
      </c>
      <c r="D9" s="2">
        <v>0.13500000000000001</v>
      </c>
      <c r="E9" s="2">
        <v>0.13600000000000001</v>
      </c>
      <c r="F9" s="2">
        <v>0.11899999999999999</v>
      </c>
      <c r="G9" s="2">
        <v>0.13400000000000001</v>
      </c>
      <c r="I9" t="s">
        <v>265</v>
      </c>
      <c r="J9" s="2">
        <f>C43-C39</f>
        <v>1.100000000000001E-2</v>
      </c>
      <c r="K9" s="2">
        <f>D43-D39</f>
        <v>9.000000000000008E-3</v>
      </c>
      <c r="L9" s="2">
        <f>E43-E39</f>
        <v>0</v>
      </c>
      <c r="M9" s="15">
        <f>F43-F39</f>
        <v>5.6000000000000001E-2</v>
      </c>
      <c r="N9" s="2">
        <f>G43-G39</f>
        <v>8.0000000000000071E-3</v>
      </c>
      <c r="O9" s="2"/>
      <c r="Q9" s="2"/>
      <c r="R9" s="2"/>
      <c r="S9" s="2"/>
      <c r="T9" s="2"/>
      <c r="U9" s="2"/>
      <c r="X9" s="2"/>
      <c r="Y9" s="2"/>
      <c r="Z9" s="2"/>
      <c r="AA9" s="2"/>
      <c r="AB9" s="2"/>
    </row>
    <row r="10" spans="1:28" x14ac:dyDescent="0.25">
      <c r="A10" s="13">
        <v>0.5</v>
      </c>
      <c r="B10" s="12" t="s">
        <v>63</v>
      </c>
      <c r="C10" s="2">
        <v>0.113</v>
      </c>
      <c r="D10" s="2">
        <v>0.126</v>
      </c>
      <c r="E10" s="2">
        <v>1.7000000000000001E-2</v>
      </c>
      <c r="F10" s="2">
        <v>4.2999999999999997E-2</v>
      </c>
      <c r="G10" s="2">
        <v>0.121</v>
      </c>
      <c r="I10" t="s">
        <v>266</v>
      </c>
      <c r="J10" s="15">
        <f>C48-C44</f>
        <v>2.1999999999999992E-2</v>
      </c>
      <c r="K10" s="15">
        <f>D48-D44</f>
        <v>2.0000000000000004E-2</v>
      </c>
      <c r="L10" s="2">
        <f>E48-E44</f>
        <v>0</v>
      </c>
      <c r="M10" s="2">
        <f>F48-F44</f>
        <v>1.6E-2</v>
      </c>
      <c r="N10" s="2">
        <f>G48-G44</f>
        <v>-8.0000000000000002E-3</v>
      </c>
      <c r="O10" s="2"/>
      <c r="Q10" s="2"/>
      <c r="R10" s="2"/>
      <c r="S10" s="2"/>
      <c r="T10" s="2"/>
      <c r="U10" s="2"/>
      <c r="X10" s="2"/>
      <c r="Y10" s="2"/>
      <c r="Z10" s="2"/>
      <c r="AA10" s="2"/>
      <c r="AB10" s="2"/>
    </row>
    <row r="11" spans="1:28" x14ac:dyDescent="0.25">
      <c r="A11" s="13">
        <v>0.75</v>
      </c>
      <c r="B11" s="12" t="s">
        <v>63</v>
      </c>
      <c r="C11" s="2">
        <v>0.122</v>
      </c>
      <c r="D11" s="2">
        <v>0.13200000000000001</v>
      </c>
      <c r="E11" s="2">
        <v>0.161</v>
      </c>
      <c r="F11" s="2">
        <v>8.6999999999999994E-2</v>
      </c>
      <c r="G11" s="2">
        <v>0.12</v>
      </c>
    </row>
    <row r="12" spans="1:28" x14ac:dyDescent="0.25">
      <c r="A12" s="13">
        <v>1</v>
      </c>
      <c r="B12" s="12" t="s">
        <v>63</v>
      </c>
      <c r="C12" s="2">
        <v>0.13100000000000001</v>
      </c>
      <c r="D12" s="2">
        <v>0.14499999999999999</v>
      </c>
      <c r="E12" s="2">
        <v>0.01</v>
      </c>
      <c r="F12" s="2">
        <v>0.115</v>
      </c>
      <c r="G12" s="2">
        <v>0.13500000000000001</v>
      </c>
      <c r="I12" s="3"/>
      <c r="P12" s="3"/>
      <c r="W12" s="3"/>
    </row>
    <row r="13" spans="1:28" x14ac:dyDescent="0.25">
      <c r="A13" s="13"/>
      <c r="B13" s="12"/>
      <c r="C13" s="2"/>
      <c r="D13" s="2"/>
      <c r="E13" s="2"/>
      <c r="F13" s="2"/>
      <c r="G13" s="2"/>
      <c r="I13" s="16" t="s">
        <v>268</v>
      </c>
      <c r="J13" s="3"/>
      <c r="K13" s="16"/>
      <c r="L13" s="16"/>
      <c r="M13" s="16"/>
      <c r="N13" s="16"/>
      <c r="P13" s="16"/>
      <c r="Q13" s="3"/>
      <c r="R13" s="16"/>
      <c r="S13" s="16"/>
      <c r="T13" s="16"/>
      <c r="U13" s="16"/>
      <c r="W13" s="16"/>
      <c r="X13" s="3"/>
      <c r="Y13" s="16"/>
      <c r="Z13" s="16"/>
      <c r="AA13" s="16"/>
      <c r="AB13" s="16"/>
    </row>
    <row r="14" spans="1:28" x14ac:dyDescent="0.25">
      <c r="A14" t="s">
        <v>54</v>
      </c>
      <c r="B14" t="s">
        <v>77</v>
      </c>
      <c r="C14" s="2"/>
      <c r="D14" s="2"/>
      <c r="E14" s="2"/>
      <c r="F14" s="2"/>
      <c r="G14" s="2"/>
      <c r="I14" s="12"/>
      <c r="J14" s="12" t="s">
        <v>6</v>
      </c>
      <c r="K14" s="12" t="s">
        <v>16</v>
      </c>
      <c r="L14" s="12" t="s">
        <v>53</v>
      </c>
      <c r="M14" s="12" t="s">
        <v>3</v>
      </c>
      <c r="N14" s="12" t="s">
        <v>67</v>
      </c>
      <c r="P14" s="12"/>
      <c r="Q14" s="12"/>
      <c r="R14" s="12"/>
      <c r="S14" s="12"/>
      <c r="T14" s="12"/>
      <c r="U14" s="12"/>
      <c r="W14" s="12"/>
      <c r="X14" s="12"/>
      <c r="Y14" s="12"/>
      <c r="Z14" s="12"/>
      <c r="AA14" s="12"/>
      <c r="AB14" s="12"/>
    </row>
    <row r="15" spans="1:28" x14ac:dyDescent="0.25">
      <c r="A15" t="s">
        <v>58</v>
      </c>
      <c r="B15" t="s">
        <v>64</v>
      </c>
      <c r="C15" s="2" t="s">
        <v>6</v>
      </c>
      <c r="D15" s="2" t="s">
        <v>16</v>
      </c>
      <c r="E15" s="2" t="s">
        <v>53</v>
      </c>
      <c r="F15" s="2" t="s">
        <v>3</v>
      </c>
      <c r="G15" s="2" t="s">
        <v>67</v>
      </c>
      <c r="I15" s="13">
        <v>0</v>
      </c>
      <c r="J15" s="2">
        <f>C8-C3</f>
        <v>4.8000000000000001E-2</v>
      </c>
      <c r="K15" s="2">
        <f t="shared" ref="K15:N15" si="0">D8-D3</f>
        <v>4.300000000000001E-2</v>
      </c>
      <c r="L15" s="2">
        <f t="shared" si="0"/>
        <v>0.188</v>
      </c>
      <c r="M15" s="2">
        <f t="shared" si="0"/>
        <v>1.0999999999999996E-2</v>
      </c>
      <c r="N15" s="2">
        <f t="shared" si="0"/>
        <v>8.4000000000000005E-2</v>
      </c>
      <c r="P15" s="12"/>
      <c r="Q15" s="2"/>
      <c r="R15" s="2"/>
      <c r="S15" s="2"/>
      <c r="T15" s="2"/>
      <c r="U15" s="2"/>
      <c r="W15" s="12"/>
      <c r="X15" s="2"/>
      <c r="Y15" s="2"/>
      <c r="Z15" s="2"/>
      <c r="AA15" s="2"/>
      <c r="AB15" s="2"/>
    </row>
    <row r="16" spans="1:28" x14ac:dyDescent="0.25">
      <c r="A16" s="1">
        <v>0</v>
      </c>
      <c r="B16" t="s">
        <v>68</v>
      </c>
      <c r="C16" s="2">
        <v>8.5999999999999993E-2</v>
      </c>
      <c r="D16" s="2">
        <v>0.11</v>
      </c>
      <c r="E16" s="2">
        <v>0</v>
      </c>
      <c r="F16" s="2">
        <v>5.8000000000000003E-2</v>
      </c>
      <c r="G16" s="2">
        <v>0.06</v>
      </c>
      <c r="I16" s="13">
        <v>0.25</v>
      </c>
      <c r="J16" s="2">
        <f t="shared" ref="J16:J19" si="1">C9-C4</f>
        <v>0.05</v>
      </c>
      <c r="K16" s="2">
        <f t="shared" ref="K16:K19" si="2">D9-D4</f>
        <v>3.6000000000000004E-2</v>
      </c>
      <c r="L16" s="2">
        <f t="shared" ref="L16:L19" si="3">E9-E4</f>
        <v>4.300000000000001E-2</v>
      </c>
      <c r="M16" s="2">
        <f t="shared" ref="M16:M19" si="4">F9-F4</f>
        <v>7.5999999999999998E-2</v>
      </c>
      <c r="N16" s="2">
        <f t="shared" ref="N16:N19" si="5">G9-G4</f>
        <v>7.7000000000000013E-2</v>
      </c>
      <c r="Q16" s="2"/>
      <c r="R16" s="2"/>
      <c r="S16" s="2"/>
      <c r="T16" s="2"/>
      <c r="U16" s="2"/>
      <c r="X16" s="2"/>
      <c r="Y16" s="2"/>
      <c r="Z16" s="2"/>
      <c r="AA16" s="2"/>
      <c r="AB16" s="2"/>
    </row>
    <row r="17" spans="1:28" x14ac:dyDescent="0.25">
      <c r="A17" s="1">
        <v>0.25</v>
      </c>
      <c r="B17" t="s">
        <v>68</v>
      </c>
      <c r="C17" s="2">
        <v>8.6999999999999994E-2</v>
      </c>
      <c r="D17" s="2">
        <v>0.107</v>
      </c>
      <c r="E17" s="2">
        <v>8.5999999999999993E-2</v>
      </c>
      <c r="F17" s="2">
        <v>4.3999999999999997E-2</v>
      </c>
      <c r="G17" s="2">
        <v>7.3999999999999996E-2</v>
      </c>
      <c r="I17" s="13">
        <v>0.5</v>
      </c>
      <c r="J17" s="2">
        <f t="shared" si="1"/>
        <v>3.3000000000000002E-2</v>
      </c>
      <c r="K17" s="2">
        <f t="shared" si="2"/>
        <v>1.9000000000000003E-2</v>
      </c>
      <c r="L17" s="2">
        <f t="shared" si="3"/>
        <v>-4.9999999999999975E-3</v>
      </c>
      <c r="M17" s="2">
        <f t="shared" si="4"/>
        <v>2.0999999999999998E-2</v>
      </c>
      <c r="N17" s="2">
        <f t="shared" si="5"/>
        <v>8.199999999999999E-2</v>
      </c>
      <c r="Q17" s="2"/>
      <c r="R17" s="2"/>
      <c r="S17" s="2"/>
      <c r="T17" s="2"/>
      <c r="U17" s="2"/>
      <c r="X17" s="2"/>
      <c r="Y17" s="2"/>
      <c r="Z17" s="2"/>
      <c r="AA17" s="2"/>
      <c r="AB17" s="2"/>
    </row>
    <row r="18" spans="1:28" x14ac:dyDescent="0.25">
      <c r="A18" s="1">
        <v>0.5</v>
      </c>
      <c r="B18" t="s">
        <v>68</v>
      </c>
      <c r="C18" s="2">
        <v>8.5999999999999993E-2</v>
      </c>
      <c r="D18" s="2">
        <v>0.108</v>
      </c>
      <c r="E18" s="2">
        <v>2.1000000000000001E-2</v>
      </c>
      <c r="F18" s="2">
        <v>2.9000000000000001E-2</v>
      </c>
      <c r="G18" s="2">
        <v>6.6000000000000003E-2</v>
      </c>
      <c r="I18" s="13">
        <v>0.75</v>
      </c>
      <c r="J18" s="2">
        <f t="shared" si="1"/>
        <v>3.8999999999999993E-2</v>
      </c>
      <c r="K18" s="2">
        <f t="shared" si="2"/>
        <v>2.8000000000000011E-2</v>
      </c>
      <c r="L18" s="2">
        <f t="shared" si="3"/>
        <v>0.161</v>
      </c>
      <c r="M18" s="2">
        <f t="shared" si="4"/>
        <v>2.6999999999999996E-2</v>
      </c>
      <c r="N18" s="2">
        <f t="shared" si="5"/>
        <v>7.8999999999999987E-2</v>
      </c>
      <c r="Q18" s="2"/>
      <c r="R18" s="2"/>
      <c r="S18" s="2"/>
      <c r="T18" s="2"/>
      <c r="U18" s="2"/>
      <c r="X18" s="2"/>
      <c r="Y18" s="2"/>
      <c r="Z18" s="2"/>
      <c r="AA18" s="2"/>
      <c r="AB18" s="2"/>
    </row>
    <row r="19" spans="1:28" x14ac:dyDescent="0.25">
      <c r="A19" s="1">
        <v>0.75</v>
      </c>
      <c r="B19" t="s">
        <v>68</v>
      </c>
      <c r="C19" s="2">
        <v>9.0999999999999998E-2</v>
      </c>
      <c r="D19" s="2">
        <v>0.105</v>
      </c>
      <c r="E19" s="2">
        <v>0</v>
      </c>
      <c r="F19" s="2">
        <v>6.9000000000000006E-2</v>
      </c>
      <c r="G19" s="2">
        <v>6.3E-2</v>
      </c>
      <c r="I19" s="13">
        <v>1</v>
      </c>
      <c r="J19" s="2">
        <f t="shared" si="1"/>
        <v>4.1000000000000009E-2</v>
      </c>
      <c r="K19" s="2">
        <f t="shared" si="2"/>
        <v>3.4999999999999989E-2</v>
      </c>
      <c r="L19" s="2">
        <f t="shared" si="3"/>
        <v>0.01</v>
      </c>
      <c r="M19" s="2">
        <f t="shared" si="4"/>
        <v>2.5000000000000008E-2</v>
      </c>
      <c r="N19" s="2">
        <f t="shared" si="5"/>
        <v>9.2999999999999999E-2</v>
      </c>
      <c r="Q19" s="2"/>
      <c r="R19" s="2"/>
      <c r="S19" s="2"/>
      <c r="T19" s="2"/>
      <c r="U19" s="2"/>
      <c r="X19" s="2"/>
      <c r="Y19" s="2"/>
      <c r="Z19" s="2"/>
      <c r="AA19" s="2"/>
      <c r="AB19" s="2"/>
    </row>
    <row r="20" spans="1:28" x14ac:dyDescent="0.25">
      <c r="A20" s="1">
        <v>1</v>
      </c>
      <c r="B20" t="s">
        <v>68</v>
      </c>
      <c r="C20" s="2">
        <v>8.5000000000000006E-2</v>
      </c>
      <c r="D20" s="2">
        <v>0.104</v>
      </c>
      <c r="E20" s="2">
        <v>0</v>
      </c>
      <c r="F20" s="2">
        <v>8.6999999999999994E-2</v>
      </c>
      <c r="G20" s="2">
        <v>7.5999999999999998E-2</v>
      </c>
      <c r="J20" s="2"/>
      <c r="K20" s="2"/>
      <c r="L20" s="2"/>
      <c r="M20" s="2"/>
      <c r="N20" s="2"/>
      <c r="Q20" s="2"/>
      <c r="R20" s="2"/>
      <c r="S20" s="2"/>
      <c r="T20" s="2"/>
      <c r="U20" s="2"/>
      <c r="X20" s="2"/>
      <c r="Y20" s="2"/>
      <c r="Z20" s="2"/>
      <c r="AA20" s="2"/>
      <c r="AB20" s="2"/>
    </row>
    <row r="21" spans="1:28" x14ac:dyDescent="0.25">
      <c r="A21" s="13">
        <v>0</v>
      </c>
      <c r="B21" s="12" t="s">
        <v>69</v>
      </c>
      <c r="C21" s="2">
        <v>7.8E-2</v>
      </c>
      <c r="D21" s="2">
        <v>0.113</v>
      </c>
      <c r="E21" s="2">
        <v>0</v>
      </c>
      <c r="F21" s="2">
        <v>6.5000000000000002E-2</v>
      </c>
      <c r="G21" s="2">
        <v>6.2E-2</v>
      </c>
      <c r="J21" s="2"/>
      <c r="K21" s="2"/>
      <c r="L21" s="2"/>
      <c r="M21" s="2"/>
      <c r="N21" s="2"/>
      <c r="Q21" s="2"/>
      <c r="R21" s="2"/>
      <c r="S21" s="2"/>
      <c r="T21" s="2"/>
      <c r="U21" s="2"/>
      <c r="X21" s="2"/>
      <c r="Y21" s="2"/>
      <c r="Z21" s="2"/>
      <c r="AA21" s="2"/>
      <c r="AB21" s="2"/>
    </row>
    <row r="22" spans="1:28" x14ac:dyDescent="0.25">
      <c r="A22" s="13">
        <v>0.25</v>
      </c>
      <c r="B22" s="12" t="s">
        <v>69</v>
      </c>
      <c r="C22" s="2">
        <v>8.2000000000000003E-2</v>
      </c>
      <c r="D22" s="2">
        <v>0.111</v>
      </c>
      <c r="E22" s="2">
        <v>0.109</v>
      </c>
      <c r="F22" s="2">
        <v>3.7999999999999999E-2</v>
      </c>
      <c r="G22" s="2">
        <v>8.7999999999999995E-2</v>
      </c>
    </row>
    <row r="23" spans="1:28" x14ac:dyDescent="0.25">
      <c r="A23" s="13">
        <v>0.5</v>
      </c>
      <c r="B23" s="12" t="s">
        <v>69</v>
      </c>
      <c r="C23" s="2">
        <v>8.2000000000000003E-2</v>
      </c>
      <c r="D23" s="2">
        <v>0.11</v>
      </c>
      <c r="E23" s="2">
        <v>2.1999999999999999E-2</v>
      </c>
      <c r="F23" s="2">
        <v>2.3E-2</v>
      </c>
      <c r="G23" s="2">
        <v>7.0000000000000007E-2</v>
      </c>
      <c r="I23" s="3"/>
      <c r="P23" s="3"/>
      <c r="W23" s="3"/>
    </row>
    <row r="24" spans="1:28" x14ac:dyDescent="0.25">
      <c r="A24" s="13">
        <v>0.75</v>
      </c>
      <c r="B24" s="12" t="s">
        <v>69</v>
      </c>
      <c r="C24" s="2">
        <v>0.09</v>
      </c>
      <c r="D24" s="2">
        <v>0.111</v>
      </c>
      <c r="E24" s="2">
        <v>0</v>
      </c>
      <c r="F24" s="2">
        <v>6.2E-2</v>
      </c>
      <c r="G24" s="2">
        <v>8.1000000000000003E-2</v>
      </c>
      <c r="I24" s="16"/>
      <c r="J24" s="3"/>
      <c r="K24" s="16"/>
      <c r="L24" s="16"/>
      <c r="M24" s="16"/>
      <c r="N24" s="16"/>
      <c r="P24" s="16"/>
      <c r="Q24" s="3"/>
      <c r="R24" s="16"/>
      <c r="S24" s="16"/>
      <c r="T24" s="16"/>
      <c r="U24" s="16"/>
      <c r="W24" s="16"/>
      <c r="X24" s="3"/>
      <c r="Y24" s="16"/>
      <c r="Z24" s="16"/>
      <c r="AA24" s="16"/>
      <c r="AB24" s="16"/>
    </row>
    <row r="25" spans="1:28" x14ac:dyDescent="0.25">
      <c r="A25" s="13">
        <v>1</v>
      </c>
      <c r="B25" s="12" t="s">
        <v>69</v>
      </c>
      <c r="C25" s="2">
        <v>9.9000000000000005E-2</v>
      </c>
      <c r="D25" s="2">
        <v>0.114</v>
      </c>
      <c r="E25" s="2">
        <v>0</v>
      </c>
      <c r="F25" s="2">
        <v>0.09</v>
      </c>
      <c r="G25" s="2">
        <v>7.6999999999999999E-2</v>
      </c>
      <c r="I25" s="12"/>
      <c r="J25" s="12"/>
      <c r="K25" s="12"/>
      <c r="L25" s="12"/>
      <c r="M25" s="12"/>
      <c r="N25" s="12"/>
      <c r="P25" s="12"/>
      <c r="Q25" s="12"/>
      <c r="R25" s="12"/>
      <c r="S25" s="12"/>
      <c r="T25" s="12"/>
      <c r="U25" s="12"/>
      <c r="W25" s="12"/>
      <c r="X25" s="12"/>
      <c r="Y25" s="12"/>
      <c r="Z25" s="12"/>
      <c r="AA25" s="12"/>
      <c r="AB25" s="12"/>
    </row>
    <row r="26" spans="1:28" x14ac:dyDescent="0.25">
      <c r="A26" s="13">
        <v>0</v>
      </c>
      <c r="B26" s="12" t="s">
        <v>70</v>
      </c>
      <c r="C26" s="2">
        <v>0.106</v>
      </c>
      <c r="D26" s="2">
        <v>0.123</v>
      </c>
      <c r="E26" s="2">
        <v>9.4E-2</v>
      </c>
      <c r="F26" s="2">
        <v>7.3999999999999996E-2</v>
      </c>
      <c r="G26" s="2">
        <v>5.8000000000000003E-2</v>
      </c>
      <c r="I26" s="12"/>
      <c r="J26" s="2"/>
      <c r="K26" s="2"/>
      <c r="L26" s="2"/>
      <c r="M26" s="2"/>
      <c r="N26" s="2"/>
      <c r="P26" s="12"/>
      <c r="Q26" s="2"/>
      <c r="R26" s="2"/>
      <c r="S26" s="2"/>
      <c r="T26" s="2"/>
      <c r="U26" s="2"/>
      <c r="W26" s="12"/>
      <c r="X26" s="2"/>
      <c r="Y26" s="2"/>
      <c r="Z26" s="2"/>
      <c r="AA26" s="2"/>
      <c r="AB26" s="2"/>
    </row>
    <row r="27" spans="1:28" x14ac:dyDescent="0.25">
      <c r="A27" s="13">
        <v>0.25</v>
      </c>
      <c r="B27" s="12" t="s">
        <v>70</v>
      </c>
      <c r="C27" s="2">
        <v>0.10299999999999999</v>
      </c>
      <c r="D27" s="2">
        <v>0.122</v>
      </c>
      <c r="E27" s="2">
        <v>0.108</v>
      </c>
      <c r="F27" s="2">
        <v>7.2999999999999995E-2</v>
      </c>
      <c r="G27" s="2">
        <v>7.8E-2</v>
      </c>
      <c r="J27" s="2"/>
      <c r="K27" s="2"/>
      <c r="L27" s="2"/>
      <c r="M27" s="2"/>
      <c r="N27" s="2"/>
      <c r="Q27" s="2"/>
      <c r="R27" s="2"/>
      <c r="S27" s="2"/>
      <c r="T27" s="2"/>
      <c r="U27" s="2"/>
      <c r="X27" s="2"/>
      <c r="Y27" s="2"/>
      <c r="Z27" s="2"/>
      <c r="AA27" s="2"/>
      <c r="AB27" s="2"/>
    </row>
    <row r="28" spans="1:28" x14ac:dyDescent="0.25">
      <c r="A28" s="13">
        <v>0.5</v>
      </c>
      <c r="B28" s="12" t="s">
        <v>70</v>
      </c>
      <c r="C28" s="2">
        <v>9.9000000000000005E-2</v>
      </c>
      <c r="D28" s="2">
        <v>0.11600000000000001</v>
      </c>
      <c r="E28" s="2">
        <v>2.1999999999999999E-2</v>
      </c>
      <c r="F28" s="2">
        <v>3.4000000000000002E-2</v>
      </c>
      <c r="G28" s="2">
        <v>6.8000000000000005E-2</v>
      </c>
      <c r="J28" s="2"/>
      <c r="K28" s="2"/>
      <c r="L28" s="2"/>
      <c r="M28" s="2"/>
      <c r="N28" s="2"/>
      <c r="Q28" s="2"/>
      <c r="R28" s="2"/>
      <c r="S28" s="2"/>
      <c r="T28" s="2"/>
      <c r="U28" s="2"/>
      <c r="X28" s="2"/>
      <c r="Y28" s="2"/>
      <c r="Z28" s="2"/>
      <c r="AA28" s="2"/>
      <c r="AB28" s="2"/>
    </row>
    <row r="29" spans="1:28" x14ac:dyDescent="0.25">
      <c r="A29" s="13">
        <v>0.75</v>
      </c>
      <c r="B29" s="12" t="s">
        <v>70</v>
      </c>
      <c r="C29" s="2">
        <v>0.108</v>
      </c>
      <c r="D29" s="2">
        <v>0.125</v>
      </c>
      <c r="E29" s="2">
        <v>0.08</v>
      </c>
      <c r="F29" s="2">
        <v>7.5999999999999998E-2</v>
      </c>
      <c r="G29" s="2">
        <v>6.6000000000000003E-2</v>
      </c>
      <c r="J29" s="2"/>
      <c r="K29" s="2"/>
      <c r="L29" s="2"/>
      <c r="M29" s="2"/>
      <c r="N29" s="2"/>
      <c r="Q29" s="2"/>
      <c r="R29" s="2"/>
      <c r="S29" s="2"/>
      <c r="T29" s="2"/>
      <c r="U29" s="2"/>
      <c r="X29" s="2"/>
      <c r="Y29" s="2"/>
      <c r="Z29" s="2"/>
      <c r="AA29" s="2"/>
      <c r="AB29" s="2"/>
    </row>
    <row r="30" spans="1:28" x14ac:dyDescent="0.25">
      <c r="A30" s="13">
        <v>1</v>
      </c>
      <c r="B30" s="12" t="s">
        <v>70</v>
      </c>
      <c r="C30" s="2">
        <v>0.109</v>
      </c>
      <c r="D30" s="2">
        <v>0.128</v>
      </c>
      <c r="E30" s="2">
        <v>4.0000000000000001E-3</v>
      </c>
      <c r="F30" s="2">
        <v>9.9000000000000005E-2</v>
      </c>
      <c r="G30" s="2">
        <v>7.0000000000000007E-2</v>
      </c>
      <c r="J30" s="2"/>
      <c r="K30" s="2"/>
      <c r="L30" s="2"/>
      <c r="M30" s="2"/>
      <c r="N30" s="2"/>
      <c r="Q30" s="2"/>
      <c r="R30" s="2"/>
      <c r="S30" s="2"/>
      <c r="T30" s="2"/>
      <c r="U30" s="2"/>
      <c r="X30" s="2"/>
      <c r="Y30" s="2"/>
      <c r="Z30" s="2"/>
      <c r="AA30" s="2"/>
      <c r="AB30" s="2"/>
    </row>
    <row r="31" spans="1:28" x14ac:dyDescent="0.25">
      <c r="A31" s="13">
        <v>0</v>
      </c>
      <c r="B31" s="12" t="s">
        <v>72</v>
      </c>
      <c r="C31" s="2">
        <v>0.105</v>
      </c>
      <c r="D31" s="2">
        <v>0.13</v>
      </c>
      <c r="E31" s="2">
        <v>0</v>
      </c>
      <c r="F31" s="2">
        <v>7.0999999999999994E-2</v>
      </c>
      <c r="G31" s="2">
        <v>9.5000000000000001E-2</v>
      </c>
      <c r="J31" s="2"/>
      <c r="K31" s="2"/>
      <c r="L31" s="2"/>
      <c r="M31" s="2"/>
      <c r="N31" s="2"/>
      <c r="Q31" s="2"/>
      <c r="R31" s="2"/>
      <c r="S31" s="2"/>
      <c r="T31" s="2"/>
      <c r="U31" s="2"/>
      <c r="X31" s="2"/>
      <c r="Y31" s="2"/>
      <c r="Z31" s="2"/>
      <c r="AA31" s="2"/>
      <c r="AB31" s="2"/>
    </row>
    <row r="32" spans="1:28" x14ac:dyDescent="0.25">
      <c r="A32" s="13">
        <v>0.25</v>
      </c>
      <c r="B32" s="12" t="s">
        <v>72</v>
      </c>
      <c r="C32" s="2">
        <v>0.106</v>
      </c>
      <c r="D32" s="2">
        <v>0.13100000000000001</v>
      </c>
      <c r="E32" s="2">
        <v>0.114</v>
      </c>
      <c r="F32" s="2">
        <v>7.4999999999999997E-2</v>
      </c>
      <c r="G32" s="2">
        <v>0.108</v>
      </c>
      <c r="J32" s="2"/>
      <c r="K32" s="2"/>
      <c r="L32" s="2"/>
      <c r="M32" s="2"/>
      <c r="N32" s="2"/>
      <c r="Q32" s="2"/>
      <c r="R32" s="2"/>
      <c r="S32" s="2"/>
      <c r="T32" s="2"/>
      <c r="U32" s="2"/>
      <c r="X32" s="2"/>
      <c r="Y32" s="2"/>
      <c r="Z32" s="2"/>
      <c r="AA32" s="2"/>
      <c r="AB32" s="2"/>
    </row>
    <row r="33" spans="1:14" x14ac:dyDescent="0.25">
      <c r="A33" s="13">
        <v>0.5</v>
      </c>
      <c r="B33" s="12" t="s">
        <v>72</v>
      </c>
      <c r="C33" s="2">
        <v>0.105</v>
      </c>
      <c r="D33" s="2">
        <v>0.126</v>
      </c>
      <c r="E33" s="2">
        <v>2.1000000000000001E-2</v>
      </c>
      <c r="F33" s="2">
        <v>3.6999999999999998E-2</v>
      </c>
      <c r="G33" s="2">
        <v>0.104</v>
      </c>
    </row>
    <row r="34" spans="1:14" x14ac:dyDescent="0.25">
      <c r="A34" s="13">
        <v>0.75</v>
      </c>
      <c r="B34" s="12" t="s">
        <v>72</v>
      </c>
      <c r="C34" s="2">
        <v>0.111</v>
      </c>
      <c r="D34" s="2">
        <v>0.13500000000000001</v>
      </c>
      <c r="E34" s="2">
        <v>0</v>
      </c>
      <c r="F34" s="2">
        <v>6.8000000000000005E-2</v>
      </c>
      <c r="G34" s="2">
        <v>0.11</v>
      </c>
      <c r="I34" s="3"/>
    </row>
    <row r="35" spans="1:14" x14ac:dyDescent="0.25">
      <c r="A35" s="13">
        <v>1</v>
      </c>
      <c r="B35" s="12" t="s">
        <v>72</v>
      </c>
      <c r="C35" s="2">
        <v>0.11899999999999999</v>
      </c>
      <c r="D35" s="2">
        <v>0.14199999999999999</v>
      </c>
      <c r="E35" s="2">
        <v>3.0000000000000001E-3</v>
      </c>
      <c r="F35" s="2">
        <v>0.121</v>
      </c>
      <c r="G35" s="2">
        <v>0.104</v>
      </c>
      <c r="I35" s="16"/>
      <c r="J35" s="3"/>
      <c r="K35" s="16"/>
      <c r="L35" s="16"/>
      <c r="M35" s="16"/>
      <c r="N35" s="16"/>
    </row>
    <row r="36" spans="1:14" x14ac:dyDescent="0.25">
      <c r="A36" s="13"/>
      <c r="B36" s="12"/>
      <c r="C36" s="2"/>
      <c r="D36" s="2"/>
      <c r="E36" s="2"/>
      <c r="F36" s="2"/>
      <c r="G36" s="2"/>
      <c r="I36" s="12"/>
      <c r="J36" s="12"/>
      <c r="K36" s="12"/>
      <c r="L36" s="12"/>
      <c r="M36" s="12"/>
      <c r="N36" s="12"/>
    </row>
    <row r="37" spans="1:14" x14ac:dyDescent="0.25">
      <c r="A37" t="s">
        <v>54</v>
      </c>
      <c r="B37" t="s">
        <v>77</v>
      </c>
      <c r="C37" s="2"/>
      <c r="D37" s="2"/>
      <c r="E37" s="2"/>
      <c r="F37" s="2"/>
      <c r="G37" s="2"/>
      <c r="I37" s="12"/>
      <c r="J37" s="2"/>
      <c r="K37" s="2"/>
      <c r="L37" s="2"/>
      <c r="M37" s="2"/>
      <c r="N37" s="2"/>
    </row>
    <row r="38" spans="1:14" x14ac:dyDescent="0.25">
      <c r="A38" t="s">
        <v>58</v>
      </c>
      <c r="B38" t="s">
        <v>64</v>
      </c>
      <c r="C38" s="2" t="s">
        <v>6</v>
      </c>
      <c r="D38" s="2" t="s">
        <v>16</v>
      </c>
      <c r="E38" s="2" t="s">
        <v>53</v>
      </c>
      <c r="F38" s="2" t="s">
        <v>3</v>
      </c>
      <c r="G38" s="2" t="s">
        <v>67</v>
      </c>
      <c r="J38" s="2"/>
      <c r="K38" s="2"/>
      <c r="L38" s="2"/>
      <c r="M38" s="2"/>
      <c r="N38" s="2"/>
    </row>
    <row r="39" spans="1:14" x14ac:dyDescent="0.25">
      <c r="A39" s="13">
        <v>0</v>
      </c>
      <c r="B39" s="12" t="s">
        <v>73</v>
      </c>
      <c r="C39" s="2">
        <v>0.106</v>
      </c>
      <c r="D39" s="2">
        <v>0.129</v>
      </c>
      <c r="E39" s="2">
        <v>0</v>
      </c>
      <c r="F39" s="2">
        <v>5.8000000000000003E-2</v>
      </c>
      <c r="G39" s="2">
        <v>7.3999999999999996E-2</v>
      </c>
      <c r="J39" s="2"/>
      <c r="K39" s="2"/>
      <c r="L39" s="2"/>
      <c r="M39" s="2"/>
      <c r="N39" s="2"/>
    </row>
    <row r="40" spans="1:14" x14ac:dyDescent="0.25">
      <c r="A40" s="13">
        <v>0.25</v>
      </c>
      <c r="B40" s="12" t="s">
        <v>73</v>
      </c>
      <c r="C40" s="2">
        <v>0.108</v>
      </c>
      <c r="D40" s="2">
        <v>0.13100000000000001</v>
      </c>
      <c r="E40" s="2">
        <v>0.113</v>
      </c>
      <c r="F40" s="2">
        <v>7.0000000000000007E-2</v>
      </c>
      <c r="G40" s="2">
        <v>9.7000000000000003E-2</v>
      </c>
      <c r="J40" s="2"/>
      <c r="K40" s="2"/>
      <c r="L40" s="2"/>
      <c r="M40" s="2"/>
      <c r="N40" s="2"/>
    </row>
    <row r="41" spans="1:14" x14ac:dyDescent="0.25">
      <c r="A41" s="13">
        <v>0.5</v>
      </c>
      <c r="B41" s="12" t="s">
        <v>73</v>
      </c>
      <c r="C41" s="2">
        <v>0.104</v>
      </c>
      <c r="D41" s="2">
        <v>0.123</v>
      </c>
      <c r="E41" s="2">
        <v>2.1999999999999999E-2</v>
      </c>
      <c r="F41" s="2">
        <v>3.9E-2</v>
      </c>
      <c r="G41" s="2">
        <v>9.1999999999999998E-2</v>
      </c>
      <c r="J41" s="2"/>
      <c r="K41" s="2"/>
      <c r="L41" s="2"/>
      <c r="M41" s="2"/>
      <c r="N41" s="2"/>
    </row>
    <row r="42" spans="1:14" x14ac:dyDescent="0.25">
      <c r="A42" s="13">
        <v>0.75</v>
      </c>
      <c r="B42" s="12" t="s">
        <v>73</v>
      </c>
      <c r="C42" s="2">
        <v>0.107</v>
      </c>
      <c r="D42" s="2">
        <v>0.13400000000000001</v>
      </c>
      <c r="E42" s="2">
        <v>0</v>
      </c>
      <c r="F42" s="2">
        <v>7.5999999999999998E-2</v>
      </c>
      <c r="G42" s="2">
        <v>9.5000000000000001E-2</v>
      </c>
      <c r="J42" s="2"/>
      <c r="K42" s="2"/>
      <c r="L42" s="2"/>
      <c r="M42" s="2"/>
      <c r="N42" s="2"/>
    </row>
    <row r="43" spans="1:14" x14ac:dyDescent="0.25">
      <c r="A43" s="13">
        <v>1</v>
      </c>
      <c r="B43" s="12" t="s">
        <v>73</v>
      </c>
      <c r="C43" s="2">
        <v>0.11700000000000001</v>
      </c>
      <c r="D43" s="2">
        <v>0.13800000000000001</v>
      </c>
      <c r="E43" s="2">
        <v>0</v>
      </c>
      <c r="F43" s="2">
        <v>0.114</v>
      </c>
      <c r="G43" s="2">
        <v>8.2000000000000003E-2</v>
      </c>
      <c r="J43" s="2"/>
      <c r="K43" s="2"/>
      <c r="L43" s="2"/>
      <c r="M43" s="2"/>
      <c r="N43" s="2"/>
    </row>
    <row r="44" spans="1:14" x14ac:dyDescent="0.25">
      <c r="A44" s="13">
        <v>0</v>
      </c>
      <c r="B44" s="12" t="s">
        <v>74</v>
      </c>
      <c r="C44" s="2">
        <v>6.9000000000000006E-2</v>
      </c>
      <c r="D44" s="2">
        <v>8.5999999999999993E-2</v>
      </c>
      <c r="E44" s="2">
        <v>0</v>
      </c>
      <c r="F44" s="2">
        <v>7.3999999999999996E-2</v>
      </c>
      <c r="G44" s="2">
        <v>5.8000000000000003E-2</v>
      </c>
    </row>
    <row r="45" spans="1:14" x14ac:dyDescent="0.25">
      <c r="A45" s="13">
        <v>0.25</v>
      </c>
      <c r="B45" s="12" t="s">
        <v>74</v>
      </c>
      <c r="C45" s="2">
        <v>6.2E-2</v>
      </c>
      <c r="D45" s="2">
        <v>0.09</v>
      </c>
      <c r="E45" s="2">
        <v>8.2000000000000003E-2</v>
      </c>
      <c r="F45" s="2">
        <v>4.5999999999999999E-2</v>
      </c>
      <c r="G45" s="2">
        <v>7.3999999999999996E-2</v>
      </c>
      <c r="I45" s="3"/>
    </row>
    <row r="46" spans="1:14" x14ac:dyDescent="0.25">
      <c r="A46" s="13">
        <v>0.5</v>
      </c>
      <c r="B46" s="12" t="s">
        <v>74</v>
      </c>
      <c r="C46" s="2">
        <v>6.5000000000000002E-2</v>
      </c>
      <c r="D46" s="2">
        <v>6.6000000000000003E-2</v>
      </c>
      <c r="E46" s="2">
        <v>2.1999999999999999E-2</v>
      </c>
      <c r="F46" s="2">
        <v>2.8000000000000001E-2</v>
      </c>
      <c r="G46" s="2">
        <v>5.1999999999999998E-2</v>
      </c>
      <c r="I46" s="16"/>
      <c r="J46" s="3"/>
      <c r="K46" s="16"/>
      <c r="L46" s="16"/>
      <c r="M46" s="16"/>
      <c r="N46" s="16"/>
    </row>
    <row r="47" spans="1:14" x14ac:dyDescent="0.25">
      <c r="A47" s="13">
        <v>0.75</v>
      </c>
      <c r="B47" s="12" t="s">
        <v>74</v>
      </c>
      <c r="C47" s="2">
        <v>6.6000000000000003E-2</v>
      </c>
      <c r="D47" s="2">
        <v>7.4999999999999997E-2</v>
      </c>
      <c r="E47" s="2">
        <v>0</v>
      </c>
      <c r="F47" s="2">
        <v>6.2E-2</v>
      </c>
      <c r="G47" s="2">
        <v>5.1999999999999998E-2</v>
      </c>
      <c r="I47" s="12"/>
      <c r="J47" s="12"/>
      <c r="K47" s="12"/>
      <c r="L47" s="12"/>
      <c r="M47" s="12"/>
      <c r="N47" s="12"/>
    </row>
    <row r="48" spans="1:14" x14ac:dyDescent="0.25">
      <c r="A48" s="13">
        <v>1</v>
      </c>
      <c r="B48" s="12" t="s">
        <v>74</v>
      </c>
      <c r="C48" s="2">
        <v>9.0999999999999998E-2</v>
      </c>
      <c r="D48" s="2">
        <v>0.106</v>
      </c>
      <c r="E48" s="2">
        <v>0</v>
      </c>
      <c r="F48" s="2">
        <v>0.09</v>
      </c>
      <c r="G48" s="2">
        <v>0.05</v>
      </c>
      <c r="I48" s="12"/>
      <c r="J48" s="2"/>
      <c r="K48" s="2"/>
      <c r="L48" s="2"/>
      <c r="M48" s="2"/>
      <c r="N48" s="2"/>
    </row>
    <row r="49" spans="10:14" x14ac:dyDescent="0.25">
      <c r="J49" s="2"/>
      <c r="K49" s="2"/>
      <c r="L49" s="2"/>
      <c r="M49" s="2"/>
      <c r="N49" s="2"/>
    </row>
    <row r="50" spans="10:14" x14ac:dyDescent="0.25">
      <c r="J50" s="2"/>
      <c r="K50" s="2"/>
      <c r="L50" s="2"/>
      <c r="M50" s="2"/>
      <c r="N50" s="2"/>
    </row>
    <row r="51" spans="10:14" x14ac:dyDescent="0.25">
      <c r="J51" s="2"/>
      <c r="K51" s="2"/>
      <c r="L51" s="2"/>
      <c r="M51" s="2"/>
      <c r="N51" s="2"/>
    </row>
    <row r="52" spans="10:14" x14ac:dyDescent="0.25">
      <c r="J52" s="2"/>
      <c r="K52" s="2"/>
      <c r="L52" s="2"/>
      <c r="M52" s="2"/>
      <c r="N52" s="2"/>
    </row>
    <row r="53" spans="10:14" x14ac:dyDescent="0.25">
      <c r="J53" s="2"/>
      <c r="K53" s="2"/>
      <c r="L53" s="2"/>
      <c r="M53" s="2"/>
      <c r="N53" s="2"/>
    </row>
    <row r="54" spans="10:14" x14ac:dyDescent="0.25">
      <c r="J54" s="2"/>
      <c r="K54" s="2"/>
      <c r="L54" s="2"/>
      <c r="M54" s="2"/>
      <c r="N5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7AD1-7D45-445B-969E-45A8125C8B92}">
  <dimension ref="A1:J14"/>
  <sheetViews>
    <sheetView tabSelected="1" workbookViewId="0">
      <selection activeCell="I12" sqref="I12"/>
    </sheetView>
  </sheetViews>
  <sheetFormatPr defaultRowHeight="15" x14ac:dyDescent="0.25"/>
  <cols>
    <col min="2" max="10" width="10.7109375" customWidth="1"/>
  </cols>
  <sheetData>
    <row r="1" spans="1:10" x14ac:dyDescent="0.25">
      <c r="B1" s="8" t="s">
        <v>275</v>
      </c>
      <c r="C1" s="8"/>
      <c r="D1" s="8" t="s">
        <v>276</v>
      </c>
      <c r="E1" s="8"/>
    </row>
    <row r="2" spans="1:10" x14ac:dyDescent="0.25">
      <c r="B2" t="s">
        <v>273</v>
      </c>
      <c r="C2" t="s">
        <v>274</v>
      </c>
      <c r="D2" t="s">
        <v>277</v>
      </c>
      <c r="E2" t="s">
        <v>278</v>
      </c>
    </row>
    <row r="3" spans="1:10" x14ac:dyDescent="0.25">
      <c r="A3" s="1">
        <v>0</v>
      </c>
      <c r="B3" s="2">
        <v>7.5448903109622698E-2</v>
      </c>
      <c r="C3" s="2">
        <v>7.41000705973901E-2</v>
      </c>
      <c r="D3" s="2">
        <v>0.70025700000000002</v>
      </c>
      <c r="E3" s="2">
        <v>0.15629699999999999</v>
      </c>
    </row>
    <row r="4" spans="1:10" x14ac:dyDescent="0.25">
      <c r="A4" s="1">
        <v>0.25</v>
      </c>
      <c r="B4" s="2">
        <v>8.0583174097917695E-2</v>
      </c>
      <c r="C4" s="2">
        <v>7.6287689189821206E-2</v>
      </c>
      <c r="D4" s="2">
        <v>1.3433310000000001</v>
      </c>
      <c r="E4" s="2">
        <v>0.11674900000000001</v>
      </c>
    </row>
    <row r="5" spans="1:10" x14ac:dyDescent="0.25">
      <c r="A5" s="1">
        <v>0.5</v>
      </c>
      <c r="B5" s="2">
        <v>8.2945324078100596E-2</v>
      </c>
      <c r="C5" s="2">
        <v>8.5874422662368097E-2</v>
      </c>
      <c r="D5" s="2">
        <v>0.95247599999999999</v>
      </c>
      <c r="E5" s="2">
        <v>0.15479899999999999</v>
      </c>
    </row>
    <row r="6" spans="1:10" x14ac:dyDescent="0.25">
      <c r="A6" s="1">
        <v>0.75</v>
      </c>
      <c r="B6" s="2">
        <v>8.4652965379973702E-2</v>
      </c>
      <c r="C6" s="2">
        <v>8.7641262458452801E-2</v>
      </c>
      <c r="D6" s="2">
        <v>0.42127300000000001</v>
      </c>
      <c r="E6" s="2">
        <v>0.134242</v>
      </c>
    </row>
    <row r="7" spans="1:10" x14ac:dyDescent="0.25">
      <c r="A7" s="1">
        <v>1</v>
      </c>
      <c r="B7" s="2">
        <v>8.5100099137450799E-2</v>
      </c>
      <c r="C7" s="2">
        <v>8.5597916884214101E-2</v>
      </c>
      <c r="D7" s="2">
        <v>0.36952200000000002</v>
      </c>
      <c r="E7" s="2">
        <v>0.114092</v>
      </c>
    </row>
    <row r="9" spans="1:10" x14ac:dyDescent="0.25">
      <c r="B9" t="s">
        <v>62</v>
      </c>
      <c r="C9" t="s">
        <v>63</v>
      </c>
      <c r="D9" t="s">
        <v>265</v>
      </c>
      <c r="E9" t="s">
        <v>266</v>
      </c>
      <c r="F9" t="s">
        <v>261</v>
      </c>
      <c r="G9" t="s">
        <v>262</v>
      </c>
      <c r="H9" t="s">
        <v>263</v>
      </c>
      <c r="I9" t="s">
        <v>279</v>
      </c>
      <c r="J9" t="s">
        <v>264</v>
      </c>
    </row>
    <row r="10" spans="1:10" x14ac:dyDescent="0.25">
      <c r="A10">
        <v>0</v>
      </c>
      <c r="B10" s="2">
        <v>0.160434659220103</v>
      </c>
      <c r="C10" s="2">
        <v>0.15282130251373599</v>
      </c>
      <c r="D10" s="2">
        <v>0.15600223709088901</v>
      </c>
      <c r="E10" s="2">
        <v>0.15781976552301699</v>
      </c>
      <c r="F10" s="2">
        <v>0.100769039106387</v>
      </c>
      <c r="G10" s="2">
        <v>0.14111957590858601</v>
      </c>
      <c r="H10" s="2">
        <v>0.16085867195352299</v>
      </c>
      <c r="I10" s="2">
        <v>0.19365114213958801</v>
      </c>
      <c r="J10" s="2">
        <v>0.19728116950986599</v>
      </c>
    </row>
    <row r="11" spans="1:10" x14ac:dyDescent="0.25">
      <c r="A11">
        <v>25</v>
      </c>
      <c r="B11" s="2">
        <v>0.110949248669821</v>
      </c>
      <c r="C11" s="2">
        <v>0.13055205630043901</v>
      </c>
      <c r="D11" s="2">
        <v>0.12387362532910499</v>
      </c>
      <c r="E11" s="2">
        <v>0.1043149341897</v>
      </c>
      <c r="F11" s="2">
        <v>9.6666344658895106E-2</v>
      </c>
      <c r="G11" s="2">
        <v>0.11249614434588</v>
      </c>
      <c r="H11" s="2">
        <v>0.122214666777879</v>
      </c>
      <c r="I11" s="2">
        <v>0.130490311635589</v>
      </c>
      <c r="J11" s="2">
        <v>0.12129130319917</v>
      </c>
    </row>
    <row r="12" spans="1:10" x14ac:dyDescent="0.25">
      <c r="A12">
        <v>50</v>
      </c>
      <c r="B12" s="2">
        <v>0.15925301854656199</v>
      </c>
      <c r="C12" s="2">
        <v>0.14459352744475401</v>
      </c>
      <c r="D12" s="2">
        <v>0.154799053280952</v>
      </c>
      <c r="E12" s="2">
        <v>0.152503347629693</v>
      </c>
      <c r="F12" s="2">
        <v>0.102878570542266</v>
      </c>
      <c r="G12" s="2">
        <v>0.14366512568981399</v>
      </c>
      <c r="H12" s="2">
        <v>0.14746282418575801</v>
      </c>
      <c r="I12" s="2">
        <v>0.17632434209088399</v>
      </c>
      <c r="J12" s="2">
        <v>0.18200261349234501</v>
      </c>
    </row>
    <row r="13" spans="1:10" x14ac:dyDescent="0.25">
      <c r="A13">
        <v>75</v>
      </c>
      <c r="B13" s="2">
        <v>0.13139597795097999</v>
      </c>
      <c r="C13" s="2">
        <v>0.137463066027562</v>
      </c>
      <c r="D13" s="2">
        <v>0.13987979131043299</v>
      </c>
      <c r="E13" s="2">
        <v>0.12207729948575</v>
      </c>
      <c r="F13" s="2">
        <v>9.85590022701755E-2</v>
      </c>
      <c r="G13" s="2">
        <v>0.11958417951214299</v>
      </c>
      <c r="H13" s="2">
        <v>0.13429689804008599</v>
      </c>
      <c r="I13" s="2">
        <v>0.14727574733364199</v>
      </c>
      <c r="J13" s="2">
        <v>0.13899488915512401</v>
      </c>
    </row>
    <row r="14" spans="1:10" x14ac:dyDescent="0.25">
      <c r="A14">
        <v>100</v>
      </c>
      <c r="B14" s="2">
        <v>0.10257156004995301</v>
      </c>
      <c r="C14" s="2">
        <v>0.14902264258973</v>
      </c>
      <c r="D14" s="2">
        <v>0.11494573343688801</v>
      </c>
      <c r="E14" s="2">
        <v>0.107115007167684</v>
      </c>
      <c r="F14" s="2">
        <v>9.7728865555708894E-2</v>
      </c>
      <c r="G14" s="2">
        <v>0.10342718941523101</v>
      </c>
      <c r="H14" s="2">
        <v>0.13663678052928099</v>
      </c>
      <c r="I14" s="2">
        <v>0.130766743184517</v>
      </c>
      <c r="J14" s="2">
        <v>0.12748873831623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Wilcoxon</vt:lpstr>
      <vt:lpstr>Stratified Wilcoxon</vt:lpstr>
      <vt:lpstr>Bootstrap</vt:lpstr>
      <vt:lpstr>Mitigation Performance</vt:lpstr>
      <vt:lpstr>Mitigation Condensed</vt:lpstr>
      <vt:lpstr>Unmitigated</vt:lpstr>
      <vt:lpstr>Mitigation Nice</vt:lpstr>
      <vt:lpstr>Comparisons</vt:lpstr>
      <vt:lpstr>Removed MLP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2025-09-10T22:14:33Z</dcterms:created>
  <dcterms:modified xsi:type="dcterms:W3CDTF">2025-10-25T12:57:13Z</dcterms:modified>
</cp:coreProperties>
</file>